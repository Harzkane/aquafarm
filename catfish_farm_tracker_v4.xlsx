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🐟 Complete Guide" sheetId="1" state="visible" r:id="rId1"/>
    <sheet xmlns:r="http://schemas.openxmlformats.org/officeDocument/2006/relationships" name="🪣 Tank Guide" sheetId="2" state="visible" r:id="rId2"/>
    <sheet xmlns:r="http://schemas.openxmlformats.org/officeDocument/2006/relationships" name="📅 Production Calendar" sheetId="3" state="visible" r:id="rId3"/>
    <sheet xmlns:r="http://schemas.openxmlformats.org/officeDocument/2006/relationships" name="📊 Dashboard" sheetId="4" state="visible" r:id="rId4"/>
    <sheet xmlns:r="http://schemas.openxmlformats.org/officeDocument/2006/relationships" name="📅 Daily Log" sheetId="5" state="visible" r:id="rId5"/>
    <sheet xmlns:r="http://schemas.openxmlformats.org/officeDocument/2006/relationships" name="🌾 Feed Tracker" sheetId="6" state="visible" r:id="rId6"/>
    <sheet xmlns:r="http://schemas.openxmlformats.org/officeDocument/2006/relationships" name="💀 Mortality Log" sheetId="7" state="visible" r:id="rId7"/>
    <sheet xmlns:r="http://schemas.openxmlformats.org/officeDocument/2006/relationships" name="💰 Costs &amp; Profit" sheetId="8" state="visible" r:id="rId8"/>
    <sheet xmlns:r="http://schemas.openxmlformats.org/officeDocument/2006/relationships" name="🌊 Water Quality" sheetId="9" state="visible" r:id="rId9"/>
    <sheet xmlns:r="http://schemas.openxmlformats.org/officeDocument/2006/relationships" name="🎣 Harvest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sz val="10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FFFFFF"/>
      <sz val="15"/>
    </font>
    <font>
      <name val="Arial"/>
      <b val="1"/>
      <color rgb="007B241C"/>
      <sz val="10"/>
    </font>
    <font>
      <name val="Arial"/>
      <b val="1"/>
      <color rgb="001A5276"/>
      <sz val="10"/>
    </font>
    <font>
      <name val="Arial"/>
      <i val="1"/>
      <color rgb="001E8449"/>
      <sz val="9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sz val="9"/>
    </font>
    <font>
      <name val="Arial"/>
      <sz val="8"/>
    </font>
    <font>
      <name val="Arial"/>
      <color rgb="00000000"/>
      <sz val="8"/>
    </font>
    <font>
      <name val="Arial"/>
      <b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B4F72"/>
      </patternFill>
    </fill>
    <fill>
      <patternFill patternType="solid">
        <fgColor rgb="001E8449"/>
      </patternFill>
    </fill>
    <fill>
      <patternFill patternType="solid">
        <fgColor rgb="00FFF9C4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922B21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39C12"/>
      </patternFill>
    </fill>
    <fill>
      <patternFill patternType="solid">
        <fgColor rgb="00D1F2EB"/>
      </patternFill>
    </fill>
    <fill>
      <patternFill patternType="solid">
        <fgColor rgb="00808B96"/>
      </patternFill>
    </fill>
    <fill>
      <patternFill patternType="solid">
        <fgColor rgb="00145A32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/>
      <bottom style="thin">
        <color rgb="00BBBBBB"/>
      </bottom>
      <diagonal/>
    </border>
    <border>
      <left/>
      <right style="thin">
        <color rgb="00BBBBBB"/>
      </right>
      <top/>
      <bottom/>
      <diagonal/>
    </border>
    <border>
      <left/>
      <right/>
      <top/>
      <bottom style="thin">
        <color rgb="00BBBBBB"/>
      </bottom>
      <diagonal/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9" borderId="1" pivotButton="0" quotePrefix="0" xfId="0"/>
    <xf numFmtId="0" fontId="6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0" fillId="5" borderId="1" pivotButton="0" quotePrefix="0" xfId="0"/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0" fillId="8" borderId="1" pivotButton="0" quotePrefix="0" xfId="0"/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0" fillId="7" borderId="1" pivotButton="0" quotePrefix="0" xfId="0"/>
    <xf numFmtId="0" fontId="9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1" fillId="11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0" fontId="14" fillId="4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left" vertical="center" wrapText="1"/>
    </xf>
    <xf numFmtId="0" fontId="16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center" vertical="center" wrapText="1"/>
    </xf>
    <xf numFmtId="0" fontId="17" fillId="6" borderId="1" applyAlignment="1" pivotButton="0" quotePrefix="0" xfId="0">
      <alignment horizontal="left" vertical="center" wrapText="1"/>
    </xf>
    <xf numFmtId="0" fontId="15" fillId="13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5" fillId="15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left" vertical="center"/>
    </xf>
    <xf numFmtId="0" fontId="18" fillId="14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4" borderId="0" applyAlignment="1" pivotButton="0" quotePrefix="0" xfId="0">
      <alignment horizontal="left" vertical="center"/>
    </xf>
    <xf numFmtId="0" fontId="18" fillId="9" borderId="0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 ht="40" customHeight="1">
      <c r="A1" s="45" t="inlineStr">
        <is>
          <t>🐟  COMPLETE CATFISH FARMING GUIDE — 500 JUVENILES | ABUJA</t>
        </is>
      </c>
    </row>
    <row r="3" ht="26" customHeight="1">
      <c r="A3" s="65" t="inlineStr">
        <is>
          <t>1.  CORRECTED GROWTH STAGES (Nigerian Standard — Clarias gariepinus)</t>
        </is>
      </c>
      <c r="B3" s="66" t="n"/>
      <c r="C3" s="66" t="n"/>
      <c r="D3" s="66" t="n"/>
      <c r="E3" s="66" t="n"/>
      <c r="F3" s="66" t="n"/>
      <c r="G3" s="67" t="n"/>
      <c r="H3" s="3" t="n"/>
    </row>
    <row r="4" ht="30" customHeight="1">
      <c r="B4" s="47" t="inlineStr">
        <is>
          <t>Stage</t>
        </is>
      </c>
      <c r="C4" s="47" t="inlineStr">
        <is>
          <t>Weight Range</t>
        </is>
      </c>
      <c r="D4" s="47" t="inlineStr">
        <is>
          <t>Length</t>
        </is>
      </c>
      <c r="E4" s="47" t="inlineStr">
        <is>
          <t>Duration</t>
        </is>
      </c>
      <c r="F4" s="47" t="inlineStr">
        <is>
          <t>Feed Size</t>
        </is>
      </c>
      <c r="G4" s="47" t="inlineStr">
        <is>
          <t>Protein %</t>
        </is>
      </c>
      <c r="H4" s="47" t="inlineStr">
        <is>
          <t>Frequency/Day</t>
        </is>
      </c>
    </row>
    <row r="5" ht="24" customHeight="1">
      <c r="B5" s="48" t="inlineStr">
        <is>
          <t>🐟 Fingerling</t>
        </is>
      </c>
      <c r="C5" s="49" t="inlineStr">
        <is>
          <t>1–10g</t>
        </is>
      </c>
      <c r="D5" s="49" t="inlineStr">
        <is>
          <t>3–5 cm</t>
        </is>
      </c>
      <c r="E5" s="49" t="inlineStr">
        <is>
          <t>Weeks 1–3</t>
        </is>
      </c>
      <c r="F5" s="49" t="inlineStr">
        <is>
          <t>0.5–1mm</t>
        </is>
      </c>
      <c r="G5" s="49" t="inlineStr">
        <is>
          <t>50–57%</t>
        </is>
      </c>
      <c r="H5" s="49" t="inlineStr">
        <is>
          <t>4–5x</t>
        </is>
      </c>
    </row>
    <row r="6" ht="24" customHeight="1">
      <c r="B6" s="50" t="inlineStr">
        <is>
          <t>🐟 Juvenile</t>
        </is>
      </c>
      <c r="C6" s="51" t="inlineStr">
        <is>
          <t>10–100g</t>
        </is>
      </c>
      <c r="D6" s="51" t="inlineStr">
        <is>
          <t>5–10 cm (~8cm avg)</t>
        </is>
      </c>
      <c r="E6" s="51" t="inlineStr">
        <is>
          <t>Weeks 3–8</t>
        </is>
      </c>
      <c r="F6" s="51" t="inlineStr">
        <is>
          <t>1.5–2mm</t>
        </is>
      </c>
      <c r="G6" s="51" t="inlineStr">
        <is>
          <t>45–50%</t>
        </is>
      </c>
      <c r="H6" s="51" t="inlineStr">
        <is>
          <t>3–4x</t>
        </is>
      </c>
    </row>
    <row r="7" ht="24" customHeight="1">
      <c r="B7" s="48" t="inlineStr">
        <is>
          <t>🐟 Post-Juvenile</t>
        </is>
      </c>
      <c r="C7" s="49" t="inlineStr">
        <is>
          <t>100–300g</t>
        </is>
      </c>
      <c r="D7" s="49" t="inlineStr">
        <is>
          <t>10–15 cm</t>
        </is>
      </c>
      <c r="E7" s="49" t="inlineStr">
        <is>
          <t>Weeks 8–14</t>
        </is>
      </c>
      <c r="F7" s="49" t="inlineStr">
        <is>
          <t>2–3mm</t>
        </is>
      </c>
      <c r="G7" s="49" t="inlineStr">
        <is>
          <t>40–45%</t>
        </is>
      </c>
      <c r="H7" s="49" t="inlineStr">
        <is>
          <t>3x</t>
        </is>
      </c>
    </row>
    <row r="8" ht="24" customHeight="1">
      <c r="B8" s="50" t="inlineStr">
        <is>
          <t>🐟 Grower</t>
        </is>
      </c>
      <c r="C8" s="51" t="inlineStr">
        <is>
          <t>300–800g</t>
        </is>
      </c>
      <c r="D8" s="51" t="inlineStr">
        <is>
          <t>15–25 cm</t>
        </is>
      </c>
      <c r="E8" s="51" t="inlineStr">
        <is>
          <t>Weeks 14–20</t>
        </is>
      </c>
      <c r="F8" s="51" t="inlineStr">
        <is>
          <t>4–6mm</t>
        </is>
      </c>
      <c r="G8" s="51" t="inlineStr">
        <is>
          <t>35–40%</t>
        </is>
      </c>
      <c r="H8" s="51" t="inlineStr">
        <is>
          <t>2–3x</t>
        </is>
      </c>
    </row>
    <row r="9" ht="24" customHeight="1">
      <c r="B9" s="48" t="inlineStr">
        <is>
          <t>🐟 Finisher</t>
        </is>
      </c>
      <c r="C9" s="49" t="inlineStr">
        <is>
          <t>800g–1.5kg+</t>
        </is>
      </c>
      <c r="D9" s="49" t="inlineStr">
        <is>
          <t>25–35 cm</t>
        </is>
      </c>
      <c r="E9" s="49" t="inlineStr">
        <is>
          <t>Weeks 20–26</t>
        </is>
      </c>
      <c r="F9" s="49" t="inlineStr">
        <is>
          <t>6–9mm</t>
        </is>
      </c>
      <c r="G9" s="49" t="inlineStr">
        <is>
          <t>35%</t>
        </is>
      </c>
      <c r="H9" s="49" t="inlineStr">
        <is>
          <t>2x</t>
        </is>
      </c>
    </row>
    <row r="10" ht="32" customHeight="1">
      <c r="B10" s="52" t="inlineStr">
        <is>
          <t>⚠️  NOTE: You are starting with JUVENILES (10–100g, ~8cm). Skip the fingerling stage entirely. Juveniles = lower mortality risk (&lt;10%) vs fingerlings (25%+).</t>
        </is>
      </c>
    </row>
    <row r="12" ht="26" customHeight="1">
      <c r="A12" s="65" t="inlineStr">
        <is>
          <t>2.  TANK ALLOCATION &amp; STOCKING PLAN (550 Juveniles (500 paid + 50 bonus))</t>
        </is>
      </c>
      <c r="B12" s="66" t="n"/>
      <c r="C12" s="66" t="n"/>
      <c r="D12" s="66" t="n"/>
      <c r="E12" s="66" t="n"/>
      <c r="F12" s="66" t="n"/>
      <c r="G12" s="67" t="n"/>
      <c r="H12" s="3" t="n"/>
    </row>
    <row r="13" ht="30" customHeight="1">
      <c r="B13" s="53" t="inlineStr">
        <is>
          <t>Tank</t>
        </is>
      </c>
      <c r="C13" s="53" t="inlineStr">
        <is>
          <t>Capacity</t>
        </is>
      </c>
      <c r="D13" s="53" t="inlineStr">
        <is>
          <t>Dimensions</t>
        </is>
      </c>
      <c r="E13" s="53" t="inlineStr">
        <is>
          <t>Phase Used</t>
        </is>
      </c>
      <c r="F13" s="53" t="inlineStr">
        <is>
          <t>Fish Count</t>
        </is>
      </c>
      <c r="G13" s="53" t="inlineStr">
        <is>
          <t>Density</t>
        </is>
      </c>
      <c r="H13" s="53" t="inlineStr">
        <is>
          <t>Notes</t>
        </is>
      </c>
    </row>
    <row r="14" ht="52" customHeight="1">
      <c r="B14" s="54" t="inlineStr">
        <is>
          <t>Tank 1 – Tarpaulin
12×12×4ft</t>
        </is>
      </c>
      <c r="C14" s="49" t="inlineStr">
        <is>
          <t>~10,000L</t>
        </is>
      </c>
      <c r="D14" s="49" t="inlineStr">
        <is>
          <t>12ft×12ft×4ft</t>
        </is>
      </c>
      <c r="E14" s="54" t="inlineStr">
        <is>
          <t>PHASE 1: Weeks 1–8
(All 550 fish start here)</t>
        </is>
      </c>
      <c r="F14" s="49" t="inlineStr">
        <is>
          <t>500</t>
        </is>
      </c>
      <c r="G14" s="49" t="inlineStr">
        <is>
          <t>50 fish/m²
✅ Ideal</t>
        </is>
      </c>
      <c r="H14" s="54" t="inlineStr">
        <is>
          <t>Start ALL 500 here. Large surface, easy to monitor. Aerate well.</t>
        </is>
      </c>
    </row>
    <row r="15" ht="52" customHeight="1">
      <c r="B15" s="55" t="inlineStr">
        <is>
          <t>Tank 2 – 5,000L</t>
        </is>
      </c>
      <c r="C15" s="51" t="inlineStr">
        <is>
          <t>5,000L</t>
        </is>
      </c>
      <c r="D15" s="51" t="inlineStr">
        <is>
          <t>Concrete/Plastic</t>
        </is>
      </c>
      <c r="E15" s="55" t="inlineStr">
        <is>
          <t>PHASE 2: Weeks 8–16
(After 1st sort: ~250 bigger fish)</t>
        </is>
      </c>
      <c r="F15" s="51" t="inlineStr">
        <is>
          <t>~200–250</t>
        </is>
      </c>
      <c r="G15" s="51" t="inlineStr">
        <is>
          <t>40–50 fish/m²
✅ Good</t>
        </is>
      </c>
      <c r="H15" s="55" t="inlineStr">
        <is>
          <t>Move faster-growing fish here at Week 8 sort.</t>
        </is>
      </c>
    </row>
    <row r="16" ht="52" customHeight="1">
      <c r="B16" s="54" t="inlineStr">
        <is>
          <t>Tank 3 – 4,000L/3,500L</t>
        </is>
      </c>
      <c r="C16" s="49" t="inlineStr">
        <is>
          <t>3,500–4,000L</t>
        </is>
      </c>
      <c r="D16" s="49" t="inlineStr">
        <is>
          <t>Concrete/Plastic</t>
        </is>
      </c>
      <c r="E16" s="54" t="inlineStr">
        <is>
          <t>PHASE 2: Weeks 8–16
(Medium fish)</t>
        </is>
      </c>
      <c r="F16" s="49" t="inlineStr">
        <is>
          <t>~150–200</t>
        </is>
      </c>
      <c r="G16" s="49" t="inlineStr">
        <is>
          <t>40–50 fish/m²
✅ Good</t>
        </is>
      </c>
      <c r="H16" s="54" t="inlineStr">
        <is>
          <t>Mid-size fish go here after Week 8 sort.</t>
        </is>
      </c>
    </row>
    <row r="17" ht="52" customHeight="1">
      <c r="B17" s="55" t="inlineStr">
        <is>
          <t>Tank 4 – 2,500L</t>
        </is>
      </c>
      <c r="C17" s="51" t="inlineStr">
        <is>
          <t>2,500L</t>
        </is>
      </c>
      <c r="D17" s="51" t="inlineStr">
        <is>
          <t>Concrete/Plastic</t>
        </is>
      </c>
      <c r="E17" s="55" t="inlineStr">
        <is>
          <t>PHASE 2–3: Weeks 8+
(Smaller/slower fish)</t>
        </is>
      </c>
      <c r="F17" s="51" t="inlineStr">
        <is>
          <t>~50–100</t>
        </is>
      </c>
      <c r="G17" s="51" t="inlineStr">
        <is>
          <t>30–40 fish/m²
✅ OK</t>
        </is>
      </c>
      <c r="H17" s="55" t="inlineStr">
        <is>
          <t>Smallest fish sorted here. Separate to prevent cannibalism.</t>
        </is>
      </c>
    </row>
    <row r="18" ht="36" customHeight="1">
      <c r="B18" s="56" t="inlineStr">
        <is>
          <t>💡 KEY PRINCIPLE: Start ALL 500 in the tarpaulin (easiest to manage). Redistribute to other tanks only AFTER Week 8 sorting. Do NOT split them up too early.</t>
        </is>
      </c>
    </row>
    <row r="20" ht="26" customHeight="1">
      <c r="A20" s="65" t="inlineStr">
        <is>
          <t>3.  SORTING SCHEDULE — Critical for Survival &amp; Growth</t>
        </is>
      </c>
      <c r="B20" s="66" t="n"/>
      <c r="C20" s="66" t="n"/>
      <c r="D20" s="66" t="n"/>
      <c r="E20" s="66" t="n"/>
      <c r="F20" s="66" t="n"/>
      <c r="G20" s="67" t="n"/>
      <c r="H20" s="3" t="n"/>
    </row>
    <row r="21" ht="30" customHeight="1">
      <c r="B21" s="53" t="inlineStr">
        <is>
          <t>Sort #</t>
        </is>
      </c>
      <c r="C21" s="53" t="inlineStr">
        <is>
          <t>When</t>
        </is>
      </c>
      <c r="D21" s="53" t="inlineStr">
        <is>
          <t>Why</t>
        </is>
      </c>
      <c r="E21" s="53" t="inlineStr">
        <is>
          <t>How to Sort</t>
        </is>
      </c>
      <c r="F21" s="53" t="inlineStr">
        <is>
          <t>Action After Sort</t>
        </is>
      </c>
      <c r="G21" s="53" t="inlineStr">
        <is>
          <t>Warning Signs</t>
        </is>
      </c>
      <c r="H21" s="53" t="inlineStr">
        <is>
          <t>Expected Outcome</t>
        </is>
      </c>
    </row>
    <row r="22" ht="60" customHeight="1">
      <c r="B22" s="49" t="inlineStr">
        <is>
          <t>Sort 1</t>
        </is>
      </c>
      <c r="C22" s="54" t="inlineStr">
        <is>
          <t>Week 2–3
(Early check)</t>
        </is>
      </c>
      <c r="D22" s="54" t="inlineStr">
        <is>
          <t>Identify 'shooters'
(fast growers) early</t>
        </is>
      </c>
      <c r="E22" s="54" t="inlineStr">
        <is>
          <t>Use a grading net or bowl. Separate visibly larger fish (shooters) from the group.</t>
        </is>
      </c>
      <c r="F22" s="54" t="inlineStr">
        <is>
          <t>If &gt;10% are shooters,
move them to another tank immediately.</t>
        </is>
      </c>
      <c r="G22" s="54" t="inlineStr">
        <is>
          <t>Fish with wounds/bites
on tails or fins</t>
        </is>
      </c>
      <c r="H22" s="54" t="inlineStr">
        <is>
          <t>Reduce early cannibalism. Shooters can be 3–5x bigger than smallest.</t>
        </is>
      </c>
    </row>
    <row r="23" ht="60" customHeight="1">
      <c r="B23" s="51" t="inlineStr">
        <is>
          <t>Sort 2</t>
        </is>
      </c>
      <c r="C23" s="55" t="inlineStr">
        <is>
          <t>Week 6–8
(Major sort)</t>
        </is>
      </c>
      <c r="D23" s="55" t="inlineStr">
        <is>
          <t>Big size differences
by now — HIGH
cannibalism risk</t>
        </is>
      </c>
      <c r="E23" s="55" t="inlineStr">
        <is>
          <t>Grade into 3 sizes:
Large (→Tank 2)
Medium (→Tank 3)
Small (→Tank 4)</t>
        </is>
      </c>
      <c r="F23" s="55" t="inlineStr">
        <is>
          <t>Stock 3 tanks separately.
Feed each group
appropriate pellet size.</t>
        </is>
      </c>
      <c r="G23" s="55" t="inlineStr">
        <is>
          <t>Any missing fish,
bloody water,
injured fish</t>
        </is>
      </c>
      <c r="H23" s="55" t="inlineStr">
        <is>
          <t>This is your most important sort. Survival rate jumps significantly after this.</t>
        </is>
      </c>
    </row>
    <row r="24" ht="60" customHeight="1">
      <c r="B24" s="49" t="inlineStr">
        <is>
          <t>Sort 3</t>
        </is>
      </c>
      <c r="C24" s="54" t="inlineStr">
        <is>
          <t>Week 12–14
(Mid-cycle)</t>
        </is>
      </c>
      <c r="D24" s="54" t="inlineStr">
        <is>
          <t>Continued size
differentiation</t>
        </is>
      </c>
      <c r="E24" s="54" t="inlineStr">
        <is>
          <t>Grade again into
2 sizes within each tank</t>
        </is>
      </c>
      <c r="F24" s="54" t="inlineStr">
        <is>
          <t>Consolidate tanks if
mortality has reduced
numbers enough.</t>
        </is>
      </c>
      <c r="G24" s="54" t="inlineStr">
        <is>
          <t>Slow eaters,
lethargic fish</t>
        </is>
      </c>
      <c r="H24" s="54" t="inlineStr">
        <is>
          <t>Optimise stocking density going into final growth phase.</t>
        </is>
      </c>
    </row>
    <row r="25" ht="60" customHeight="1">
      <c r="B25" s="51" t="inlineStr">
        <is>
          <t>Sort 4</t>
        </is>
      </c>
      <c r="C25" s="55" t="inlineStr">
        <is>
          <t>Week 20–22
(Pre-harvest)</t>
        </is>
      </c>
      <c r="D25" s="55" t="inlineStr">
        <is>
          <t>Identify market-ready
fish (800g–1kg+)</t>
        </is>
      </c>
      <c r="E25" s="55" t="inlineStr">
        <is>
          <t>Weigh sample fish.
Separate harvest-ready
from those needing more time.</t>
        </is>
      </c>
      <c r="F25" s="55" t="inlineStr">
        <is>
          <t>Stage harvest:
sell biggest first,
grow rest 2–4 more weeks.</t>
        </is>
      </c>
      <c r="G25" s="55" t="inlineStr">
        <is>
          <t>Any disease signs
before harvest</t>
        </is>
      </c>
      <c r="H25" s="55" t="inlineStr">
        <is>
          <t>Maximise revenue by selling at peak market weight.</t>
        </is>
      </c>
    </row>
    <row r="26" ht="40" customHeight="1">
      <c r="B26" s="52" t="inlineStr">
        <is>
          <t>⚠️ SCIENCE BACKED: Research on Nigerian Clarias catfish shows unsorted tanks had 40% cannibalism &amp; 60% survival. Weekly-sorted tanks had only 2% cannibalism &amp; 86% survival. Sorting = more money.</t>
        </is>
      </c>
    </row>
    <row r="28" ht="26" customHeight="1">
      <c r="A28" s="46" t="inlineStr">
        <is>
          <t>4.  UPDATED PROFIT ESTIMATE — Nigeria 2025 Market Prices (550 Juveniles (500 paid + 50 bonus))</t>
        </is>
      </c>
    </row>
    <row r="29" ht="26" customHeight="1">
      <c r="B29" s="53" t="inlineStr">
        <is>
          <t>Item</t>
        </is>
      </c>
      <c r="C29" s="53" t="inlineStr">
        <is>
          <t>Details</t>
        </is>
      </c>
      <c r="D29" s="53" t="inlineStr">
        <is>
          <t>Low Estimate (₦)</t>
        </is>
      </c>
      <c r="E29" s="53" t="inlineStr">
        <is>
          <t>High Estimate (₦)</t>
        </is>
      </c>
      <c r="F29" s="53" t="inlineStr">
        <is>
          <t>Notes</t>
        </is>
      </c>
    </row>
    <row r="30" ht="42" customHeight="1">
      <c r="B30" s="54" t="inlineStr">
        <is>
          <t>Juveniles × 500</t>
        </is>
      </c>
      <c r="C30" s="54" t="inlineStr">
        <is>
          <t>₦70/fish × 500 paid
+ 50 free (10% bonus)</t>
        </is>
      </c>
      <c r="D30" s="49" t="inlineStr">
        <is>
          <t>35,000</t>
        </is>
      </c>
      <c r="E30" s="49" t="inlineStr">
        <is>
          <t>25,000</t>
        </is>
      </c>
      <c r="F30" s="54" t="inlineStr">
        <is>
          <t>Buy from reputable hatchery. Your YouTube guy is a good source.</t>
        </is>
      </c>
    </row>
    <row r="31" ht="42" customHeight="1">
      <c r="B31" s="55" t="inlineStr">
        <is>
          <t>Feed — Starter
(Weeks 1–8)</t>
        </is>
      </c>
      <c r="C31" s="55" t="inlineStr">
        <is>
          <t>Coppens/Skretting
1.5–2mm, 45–50%
protein</t>
        </is>
      </c>
      <c r="D31" s="51" t="inlineStr">
        <is>
          <t>35,000</t>
        </is>
      </c>
      <c r="E31" s="51" t="inlineStr">
        <is>
          <t>55,000</t>
        </is>
      </c>
      <c r="F31" s="55" t="inlineStr">
        <is>
          <t>Most expensive phase per kg of fish. Don't skip quality here.</t>
        </is>
      </c>
    </row>
    <row r="32" ht="42" customHeight="1">
      <c r="B32" s="54" t="inlineStr">
        <is>
          <t>Feed — Grower
(Weeks 8–20)</t>
        </is>
      </c>
      <c r="C32" s="54" t="inlineStr">
        <is>
          <t>Durante/Chi
3–6mm, 40%
protein</t>
        </is>
      </c>
      <c r="D32" s="49" t="inlineStr">
        <is>
          <t>120,000</t>
        </is>
      </c>
      <c r="E32" s="49" t="inlineStr">
        <is>
          <t>180,000</t>
        </is>
      </c>
      <c r="F32" s="54" t="inlineStr">
        <is>
          <t>Biggest feed cost. Buy in bulk (50kg bags) from distributor.</t>
        </is>
      </c>
    </row>
    <row r="33" ht="42" customHeight="1">
      <c r="B33" s="55" t="inlineStr">
        <is>
          <t>Feed — Finisher
(Weeks 20–26)</t>
        </is>
      </c>
      <c r="C33" s="55" t="inlineStr">
        <is>
          <t>6–9mm, 35%
protein</t>
        </is>
      </c>
      <c r="D33" s="51" t="inlineStr">
        <is>
          <t>40,000</t>
        </is>
      </c>
      <c r="E33" s="51" t="inlineStr">
        <is>
          <t>70,000</t>
        </is>
      </c>
      <c r="F33" s="55" t="inlineStr">
        <is>
          <t>Can supplement 20–30% with farm-made feed (soybean/maize).</t>
        </is>
      </c>
    </row>
    <row r="34" ht="42" customHeight="1">
      <c r="B34" s="54" t="inlineStr">
        <is>
          <t>Medications &amp;
Treatments</t>
        </is>
      </c>
      <c r="C34" s="54" t="inlineStr">
        <is>
          <t>Salt, potassium
permanganate, antibiotics
if needed</t>
        </is>
      </c>
      <c r="D34" s="49" t="inlineStr">
        <is>
          <t>15,000</t>
        </is>
      </c>
      <c r="E34" s="49" t="inlineStr">
        <is>
          <t>30,000</t>
        </is>
      </c>
      <c r="F34" s="54" t="inlineStr">
        <is>
          <t>Preventive treatments at stocking and after each sort.</t>
        </is>
      </c>
    </row>
    <row r="35" ht="42" customHeight="1">
      <c r="B35" s="55" t="inlineStr">
        <is>
          <t>Aeration
(if not yet set up)</t>
        </is>
      </c>
      <c r="C35" s="55" t="inlineStr">
        <is>
          <t>Blower + air stones
+ pipes</t>
        </is>
      </c>
      <c r="D35" s="51" t="inlineStr">
        <is>
          <t>15,000</t>
        </is>
      </c>
      <c r="E35" s="51" t="inlineStr">
        <is>
          <t>35,000</t>
        </is>
      </c>
      <c r="F35" s="55" t="inlineStr">
        <is>
          <t>One-time cost. Essential — do NOT skip.</t>
        </is>
      </c>
    </row>
    <row r="36" ht="42" customHeight="1">
      <c r="B36" s="54" t="inlineStr">
        <is>
          <t>Labour</t>
        </is>
      </c>
      <c r="C36" s="54" t="inlineStr">
        <is>
          <t>Self-managed
or part-time helper</t>
        </is>
      </c>
      <c r="D36" s="49" t="inlineStr">
        <is>
          <t>0</t>
        </is>
      </c>
      <c r="E36" s="49" t="inlineStr">
        <is>
          <t>60,000</t>
        </is>
      </c>
      <c r="F36" s="54" t="inlineStr">
        <is>
          <t>If you manage yourself, this is zero.</t>
        </is>
      </c>
    </row>
    <row r="37" ht="42" customHeight="1">
      <c r="B37" s="55" t="inlineStr">
        <is>
          <t>Electricity/Fuel</t>
        </is>
      </c>
      <c r="C37" s="55" t="inlineStr">
        <is>
          <t>Borehole pump,
aeration backup</t>
        </is>
      </c>
      <c r="D37" s="51" t="inlineStr">
        <is>
          <t>10,000</t>
        </is>
      </c>
      <c r="E37" s="51" t="inlineStr">
        <is>
          <t>20,000</t>
        </is>
      </c>
      <c r="F37" s="55" t="inlineStr">
        <is>
          <t>Solar helps reduce this significantly.</t>
        </is>
      </c>
    </row>
    <row r="38" ht="42" customHeight="1">
      <c r="B38" s="54" t="inlineStr">
        <is>
          <t>Miscellaneous</t>
        </is>
      </c>
      <c r="C38" s="54" t="inlineStr">
        <is>
          <t>Nets, buckets,
test kits top-up</t>
        </is>
      </c>
      <c r="D38" s="49" t="inlineStr">
        <is>
          <t>10,000</t>
        </is>
      </c>
      <c r="E38" s="49" t="inlineStr">
        <is>
          <t>20,000</t>
        </is>
      </c>
      <c r="F38" s="54" t="inlineStr"/>
    </row>
    <row r="39" ht="42" customHeight="1">
      <c r="B39" s="57" t="inlineStr">
        <is>
          <t>TOTAL COSTS</t>
        </is>
      </c>
      <c r="C39" s="57" t="inlineStr"/>
      <c r="D39" s="58" t="inlineStr">
        <is>
          <t>262,500</t>
        </is>
      </c>
      <c r="E39" s="58" t="inlineStr">
        <is>
          <t>495,000</t>
        </is>
      </c>
      <c r="F39" s="57" t="inlineStr"/>
    </row>
    <row r="41" ht="30" customHeight="1">
      <c r="A41" s="59" t="inlineStr">
        <is>
          <t>REVENUE PROJECTION (Based on Verified Abuja 2025 Market Price: ₦2,647–₦4,413/kg)</t>
        </is>
      </c>
    </row>
    <row r="42" ht="24" customHeight="1">
      <c r="B42" s="53" t="inlineStr">
        <is>
          <t>Item</t>
        </is>
      </c>
      <c r="C42" s="53" t="inlineStr">
        <is>
          <t>Estimate</t>
        </is>
      </c>
      <c r="D42" s="53" t="inlineStr">
        <is>
          <t>Notes</t>
        </is>
      </c>
    </row>
    <row r="43" ht="40" customHeight="1">
      <c r="B43" s="54" t="inlineStr">
        <is>
          <t>Survival (90%)</t>
        </is>
      </c>
      <c r="C43" s="54" t="inlineStr">
        <is>
          <t>495 fish (90% of 550)</t>
        </is>
      </c>
      <c r="D43" s="54" t="inlineStr">
        <is>
          <t>Juveniles carry &lt;10% mortality risk with good management</t>
        </is>
      </c>
    </row>
    <row r="44" ht="40" customHeight="1">
      <c r="B44" s="55" t="inlineStr">
        <is>
          <t>Avg Harvest Weight</t>
        </is>
      </c>
      <c r="C44" s="55" t="inlineStr">
        <is>
          <t>1–1.2 kg/fish</t>
        </is>
      </c>
      <c r="D44" s="55" t="inlineStr">
        <is>
          <t>Clarias reaches 1kg in 5–6 months</t>
        </is>
      </c>
    </row>
    <row r="45" ht="40" customHeight="1">
      <c r="B45" s="54" t="inlineStr">
        <is>
          <t>Total Biomass</t>
        </is>
      </c>
      <c r="C45" s="54" t="inlineStr">
        <is>
          <t>495–594 kg</t>
        </is>
      </c>
      <c r="D45" s="54" t="inlineStr"/>
    </row>
    <row r="46" ht="40" customHeight="1">
      <c r="B46" s="55" t="inlineStr">
        <is>
          <t>Selling Price/kg</t>
        </is>
      </c>
      <c r="C46" s="55" t="inlineStr">
        <is>
          <t>₦2,647 (conservative)
₦3,500 (good market
conditions)</t>
        </is>
      </c>
      <c r="D46" s="55" t="inlineStr">
        <is>
          <t>Verified Abuja 2025 retail range: ₦2,647–₦4,413/kg</t>
        </is>
      </c>
    </row>
    <row r="47" ht="40" customHeight="1">
      <c r="B47" s="54" t="inlineStr">
        <is>
          <t>GROSS REVENUE</t>
        </is>
      </c>
      <c r="C47" s="54" t="inlineStr">
        <is>
          <t>₦1,190,000–
₦1,890,000</t>
        </is>
      </c>
      <c r="D47" s="54" t="inlineStr"/>
    </row>
    <row r="48" ht="40" customHeight="1">
      <c r="B48" s="55" t="inlineStr">
        <is>
          <t>Less: Total Costs</t>
        </is>
      </c>
      <c r="C48" s="55" t="inlineStr">
        <is>
          <t>(₦262,500–₦495,000)</t>
        </is>
      </c>
      <c r="D48" s="55" t="inlineStr"/>
    </row>
    <row r="49" ht="40" customHeight="1">
      <c r="B49" s="60" t="inlineStr">
        <is>
          <t>NET PROFIT</t>
        </is>
      </c>
      <c r="C49" s="60" t="inlineStr">
        <is>
          <t>₦695,000–₦1,390,000</t>
        </is>
      </c>
      <c r="D49" s="60" t="inlineStr">
        <is>
          <t>Better than original estimate due to updated prices &amp; juvenile survival advantage</t>
        </is>
      </c>
    </row>
    <row r="50" ht="40" customHeight="1">
      <c r="B50" s="60" t="inlineStr">
        <is>
          <t>ROI</t>
        </is>
      </c>
      <c r="C50" s="60" t="inlineStr">
        <is>
          <t>140%–280%</t>
        </is>
      </c>
      <c r="D50" s="60" t="inlineStr">
        <is>
          <t>Strong return. Improves every cycle as you optimize.</t>
        </is>
      </c>
    </row>
    <row r="51">
      <c r="B51" s="3" t="n"/>
      <c r="C51" s="3" t="n"/>
      <c r="D51" s="3" t="n"/>
    </row>
    <row r="53" ht="26" customHeight="1">
      <c r="A53" s="46" t="inlineStr">
        <is>
          <t>5.  BEST HARVEST TIMING — Abuja Market Seasons</t>
        </is>
      </c>
    </row>
    <row r="54" ht="24" customHeight="1">
      <c r="B54" s="53" t="inlineStr">
        <is>
          <t>Period</t>
        </is>
      </c>
      <c r="C54" s="53" t="inlineStr">
        <is>
          <t>Price Level</t>
        </is>
      </c>
      <c r="D54" s="53" t="inlineStr">
        <is>
          <t>Demand</t>
        </is>
      </c>
      <c r="E54" s="53" t="inlineStr">
        <is>
          <t>Recommended Action</t>
        </is>
      </c>
    </row>
    <row r="55" ht="44" customHeight="1">
      <c r="B55" s="54" t="inlineStr">
        <is>
          <t>🎄 December (Christmas
&amp; New Year)</t>
        </is>
      </c>
      <c r="C55" s="49" t="inlineStr">
        <is>
          <t>🔥 HIGHEST
(+30–50% premium)</t>
        </is>
      </c>
      <c r="D55" s="54" t="inlineStr">
        <is>
          <t>Very High</t>
        </is>
      </c>
      <c r="E55" s="54" t="inlineStr">
        <is>
          <t>Plan a harvest here if your 6-month cycle aligns. Best single revenue event of the year.</t>
        </is>
      </c>
    </row>
    <row r="56" ht="44" customHeight="1">
      <c r="B56" s="55" t="inlineStr">
        <is>
          <t>🌙 Sallah Periods
(Eid el-Fitr / Eid el-Kabir)</t>
        </is>
      </c>
      <c r="C56" s="51" t="inlineStr">
        <is>
          <t>🔥 HIGH
(+20–40% premium)</t>
        </is>
      </c>
      <c r="D56" s="55" t="inlineStr">
        <is>
          <t>Very High</t>
        </is>
      </c>
      <c r="E56" s="55" t="inlineStr">
        <is>
          <t>Second best harvest window. Check Islamic calendar to align cycle.</t>
        </is>
      </c>
    </row>
    <row r="57" ht="44" customHeight="1">
      <c r="B57" s="54" t="inlineStr">
        <is>
          <t>✝️ Easter</t>
        </is>
      </c>
      <c r="C57" s="49" t="inlineStr">
        <is>
          <t>📈 GOOD
(+10–20% premium)</t>
        </is>
      </c>
      <c r="D57" s="54" t="inlineStr">
        <is>
          <t>High</t>
        </is>
      </c>
      <c r="E57" s="54" t="inlineStr">
        <is>
          <t>Good window especially for live catfish sales to restaurants.</t>
        </is>
      </c>
    </row>
    <row r="58" ht="44" customHeight="1">
      <c r="B58" s="61" t="inlineStr">
        <is>
          <t>📅 Jan–Feb
(Post-festive)</t>
        </is>
      </c>
      <c r="C58" s="62" t="inlineStr">
        <is>
          <t>📉 LOWEST
(Market dip)</t>
        </is>
      </c>
      <c r="D58" s="61" t="inlineStr">
        <is>
          <t>Low</t>
        </is>
      </c>
      <c r="E58" s="61" t="inlineStr">
        <is>
          <t>AVOID harvesting here if possible. Wait it out if fish are healthy and still growing.</t>
        </is>
      </c>
    </row>
    <row r="59" ht="44" customHeight="1">
      <c r="B59" s="55" t="inlineStr">
        <is>
          <t>📅 Regular months
(Mar–Nov)</t>
        </is>
      </c>
      <c r="C59" s="51" t="inlineStr">
        <is>
          <t>💰 STABLE
₦2,647–₦3,500/kg</t>
        </is>
      </c>
      <c r="D59" s="55" t="inlineStr">
        <is>
          <t>Moderate</t>
        </is>
      </c>
      <c r="E59" s="55" t="inlineStr">
        <is>
          <t>Steady market. POK (point-of-kill) spots and restaurants are consistent buyers year-round.</t>
        </is>
      </c>
    </row>
    <row r="60">
      <c r="B60" s="3" t="n"/>
      <c r="C60" s="3" t="n"/>
      <c r="D60" s="3" t="n"/>
      <c r="E60" s="3" t="n"/>
    </row>
  </sheetData>
  <mergeCells count="11">
    <mergeCell ref="G29:H29"/>
    <mergeCell ref="B10:G10"/>
    <mergeCell ref="A1:G1"/>
    <mergeCell ref="A3:G3"/>
    <mergeCell ref="A53:G53"/>
    <mergeCell ref="A12:G12"/>
    <mergeCell ref="A20:G20"/>
    <mergeCell ref="B26:G26"/>
    <mergeCell ref="B18:G18"/>
    <mergeCell ref="A41:G41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8" customHeight="1">
      <c r="A1" s="23" t="inlineStr">
        <is>
          <t>🪣  TANK SETUP GUIDE — Cut Water Tanks + Tarpaulin</t>
        </is>
      </c>
    </row>
    <row r="3" ht="26" customHeight="1">
      <c r="A3" s="65" t="inlineStr">
        <is>
          <t>WATER LEVEL RULES — Cut Tanks</t>
        </is>
      </c>
      <c r="B3" s="66" t="n"/>
      <c r="C3" s="66" t="n"/>
      <c r="D3" s="66" t="n"/>
      <c r="E3" s="66" t="n"/>
      <c r="F3" s="67" t="n"/>
      <c r="G3" s="3" t="n"/>
    </row>
    <row r="4" ht="36" customHeight="1">
      <c r="B4" s="47" t="inlineStr">
        <is>
          <t>Tank</t>
        </is>
      </c>
      <c r="C4" s="47" t="inlineStr">
        <is>
          <t>Full Capacity
(cut half)</t>
        </is>
      </c>
      <c r="D4" s="47" t="inlineStr">
        <is>
          <t>Fill To
(% of cut depth)</t>
        </is>
      </c>
      <c r="E4" s="47" t="inlineStr">
        <is>
          <t>Working
Volume (L)</t>
        </is>
      </c>
      <c r="F4" s="47" t="inlineStr">
        <is>
          <t>Why Not 100%</t>
        </is>
      </c>
      <c r="G4" s="47" t="inlineStr">
        <is>
          <t>Key Safety Check</t>
        </is>
      </c>
    </row>
    <row r="5" ht="60" customHeight="1">
      <c r="B5" s="54" t="inlineStr">
        <is>
          <t>Tarpaulin
12×12×4ft</t>
        </is>
      </c>
      <c r="C5" s="54" t="inlineStr">
        <is>
          <t>~10,000L
(full 4ft depth)</t>
        </is>
      </c>
      <c r="D5" s="54" t="inlineStr">
        <is>
          <t>75–80%
(fill to 3ft)</t>
        </is>
      </c>
      <c r="E5" s="54" t="inlineStr">
        <is>
          <t>~7,500–8,000L</t>
        </is>
      </c>
      <c r="F5" s="54" t="inlineStr">
        <is>
          <t>Fish jump at night.
Air stones need headspace.
Easier water changes.</t>
        </is>
      </c>
      <c r="G5" s="54" t="inlineStr">
        <is>
          <t>Check tarpaulin walls
for leaks at seams.
Support frame must
be rigid.</t>
        </is>
      </c>
    </row>
    <row r="6" ht="60" customHeight="1">
      <c r="B6" s="55" t="inlineStr">
        <is>
          <t>5,000L tank
(cut in half)</t>
        </is>
      </c>
      <c r="C6" s="55" t="inlineStr">
        <is>
          <t>~2,500L</t>
        </is>
      </c>
      <c r="D6" s="55" t="inlineStr">
        <is>
          <t>75–80%</t>
        </is>
      </c>
      <c r="E6" s="55" t="inlineStr">
        <is>
          <t>~1,875–2,000L</t>
        </is>
      </c>
      <c r="F6" s="55" t="inlineStr">
        <is>
          <t>Catfish jump out
if water is too
close to rim.</t>
        </is>
      </c>
      <c r="G6" s="55" t="inlineStr">
        <is>
          <t>Sand/file any sharp
cut edges. Check
that cut is level
so water sits evenly.</t>
        </is>
      </c>
    </row>
    <row r="7" ht="60" customHeight="1">
      <c r="B7" s="54" t="inlineStr">
        <is>
          <t>4,000/3,500L tank
(cut in half)</t>
        </is>
      </c>
      <c r="C7" s="54" t="inlineStr">
        <is>
          <t>~1,750–2,000L</t>
        </is>
      </c>
      <c r="D7" s="54" t="inlineStr">
        <is>
          <t>75–80%</t>
        </is>
      </c>
      <c r="E7" s="54" t="inlineStr">
        <is>
          <t>~1,300–1,500L</t>
        </is>
      </c>
      <c r="F7" s="54" t="inlineStr">
        <is>
          <t>Same as above.
Over-full tanks
also make water
changes messy.</t>
        </is>
      </c>
      <c r="G7" s="54" t="inlineStr">
        <is>
          <t>Ensure tank is sitting
on a flat, stable base.
Uneven base = stress
cracks over time.</t>
        </is>
      </c>
    </row>
    <row r="8" ht="60" customHeight="1">
      <c r="B8" s="55" t="inlineStr">
        <is>
          <t>2,500L tank
(cut in half)</t>
        </is>
      </c>
      <c r="C8" s="55" t="inlineStr">
        <is>
          <t>~1,250L</t>
        </is>
      </c>
      <c r="D8" s="55" t="inlineStr">
        <is>
          <t>75–80%</t>
        </is>
      </c>
      <c r="E8" s="55" t="inlineStr">
        <is>
          <t>~940–1,000L</t>
        </is>
      </c>
      <c r="F8" s="55" t="inlineStr">
        <is>
          <t>Smallest tank —
water quality degrades
faster when overfull
with fish waste.</t>
        </is>
      </c>
      <c r="G8" s="55" t="inlineStr">
        <is>
          <t>Monitor ammonia
more frequently
in this tank.
Change water every
2–3 days minimum.</t>
        </is>
      </c>
    </row>
    <row r="9" ht="26" customHeight="1">
      <c r="A9" s="53" t="inlineStr">
        <is>
          <t>TOTAL WORKING WATER VOLUME (all tanks at 75–80%)</t>
        </is>
      </c>
      <c r="B9" s="63" t="n"/>
      <c r="C9" s="63" t="n"/>
      <c r="D9" s="64" t="n"/>
      <c r="E9" s="68" t="inlineStr">
        <is>
          <t>~11,600–12,500 Litres</t>
        </is>
      </c>
      <c r="F9" s="64" t="n"/>
    </row>
    <row r="11" ht="40" customHeight="1">
      <c r="A11" s="69" t="inlineStr">
        <is>
          <t>⚠️  IMPORTANT: Check ALL cut edges are smooth — run your hand along the rim. Any sharp edge WILL injure fish during sorting or jumping. Use sandpaper or a file to smooth before stocking.</t>
        </is>
      </c>
      <c r="B11" s="63" t="n"/>
      <c r="C11" s="63" t="n"/>
      <c r="D11" s="63" t="n"/>
      <c r="E11" s="63" t="n"/>
      <c r="F11" s="64" t="n"/>
    </row>
    <row r="13" ht="26" customHeight="1">
      <c r="A13" s="65" t="inlineStr">
        <is>
          <t>STOCKING PLAN — 550 Juveniles Across Tanks (Phase by Phase)</t>
        </is>
      </c>
      <c r="B13" s="66" t="n"/>
      <c r="C13" s="66" t="n"/>
      <c r="D13" s="66" t="n"/>
      <c r="E13" s="66" t="n"/>
      <c r="F13" s="67" t="n"/>
      <c r="G13" s="3" t="n"/>
    </row>
    <row r="14" ht="30" customHeight="1">
      <c r="B14" s="53" t="inlineStr">
        <is>
          <t>Phase</t>
        </is>
      </c>
      <c r="C14" s="53" t="inlineStr">
        <is>
          <t>Weeks</t>
        </is>
      </c>
      <c r="D14" s="53" t="inlineStr">
        <is>
          <t>Tank</t>
        </is>
      </c>
      <c r="E14" s="53" t="inlineStr">
        <is>
          <t>Fish Count</t>
        </is>
      </c>
      <c r="F14" s="53" t="inlineStr">
        <is>
          <t>Density
(fish/m²)</t>
        </is>
      </c>
      <c r="G14" s="53" t="inlineStr">
        <is>
          <t>Action Required</t>
        </is>
      </c>
    </row>
    <row r="15" ht="52" customHeight="1">
      <c r="B15" s="54" t="inlineStr">
        <is>
          <t>Phase 1
(Start)</t>
        </is>
      </c>
      <c r="C15" s="49" t="inlineStr">
        <is>
          <t>Weeks 1–8</t>
        </is>
      </c>
      <c r="D15" s="54" t="inlineStr">
        <is>
          <t>Tarpaulin ONLY
(all fish here)</t>
        </is>
      </c>
      <c r="E15" s="49" t="inlineStr">
        <is>
          <t>550</t>
        </is>
      </c>
      <c r="F15" s="49" t="inlineStr">
        <is>
          <t>~38/m²
✅ Comfortable</t>
        </is>
      </c>
      <c r="G15" s="54" t="inlineStr">
        <is>
          <t>ALL fish in tarpaulin. Monitor daily. Aerate well. DO NOT split yet.</t>
        </is>
      </c>
    </row>
    <row r="16" ht="52" customHeight="1">
      <c r="B16" s="55" t="inlineStr">
        <is>
          <t>Phase 2
(After Sort 2)</t>
        </is>
      </c>
      <c r="C16" s="51" t="inlineStr">
        <is>
          <t>Week 8</t>
        </is>
      </c>
      <c r="D16" s="55" t="inlineStr">
        <is>
          <t>Tarpaulin → Large fish
(fastest growers)</t>
        </is>
      </c>
      <c r="E16" s="51" t="inlineStr">
        <is>
          <t>~200</t>
        </is>
      </c>
      <c r="F16" s="51" t="inlineStr">
        <is>
          <t>~14/m²
✅ Excellent</t>
        </is>
      </c>
      <c r="G16" s="55" t="inlineStr">
        <is>
          <t>Move biggest 200 fish into tarpaulin after sort.</t>
        </is>
      </c>
    </row>
    <row r="17" ht="52" customHeight="1">
      <c r="B17" s="70" t="inlineStr">
        <is>
          <t>Phase 2
(After Sort 2)</t>
        </is>
      </c>
      <c r="C17" s="71" t="inlineStr">
        <is>
          <t>Week 8</t>
        </is>
      </c>
      <c r="D17" s="70" t="inlineStr">
        <is>
          <t>5,000L half-tank
→ Medium fish</t>
        </is>
      </c>
      <c r="E17" s="71" t="inlineStr">
        <is>
          <t>~200</t>
        </is>
      </c>
      <c r="F17" s="71" t="inlineStr">
        <is>
          <t>~40/m²
✅ Good</t>
        </is>
      </c>
      <c r="G17" s="70" t="inlineStr">
        <is>
          <t>Mid-size 200 fish go here.</t>
        </is>
      </c>
    </row>
    <row r="18" ht="52" customHeight="1">
      <c r="B18" s="55" t="inlineStr">
        <is>
          <t>Phase 2
(After Sort 2)</t>
        </is>
      </c>
      <c r="C18" s="51" t="inlineStr">
        <is>
          <t>Week 8</t>
        </is>
      </c>
      <c r="D18" s="55" t="inlineStr">
        <is>
          <t>3,500–4,000L half-tank
→ Smaller fish</t>
        </is>
      </c>
      <c r="E18" s="51" t="inlineStr">
        <is>
          <t>~100</t>
        </is>
      </c>
      <c r="F18" s="51" t="inlineStr">
        <is>
          <t>~25/m²
✅ Good</t>
        </is>
      </c>
      <c r="G18" s="55" t="inlineStr">
        <is>
          <t>Smaller fish go here. Feed slightly smaller pellet size.</t>
        </is>
      </c>
    </row>
    <row r="19" ht="52" customHeight="1">
      <c r="B19" s="54" t="inlineStr">
        <is>
          <t>Phase 2
(After Sort 2)</t>
        </is>
      </c>
      <c r="C19" s="49" t="inlineStr">
        <is>
          <t>Week 8</t>
        </is>
      </c>
      <c r="D19" s="54" t="inlineStr">
        <is>
          <t>2,500L half-tank
→ Runts/smallest</t>
        </is>
      </c>
      <c r="E19" s="49" t="inlineStr">
        <is>
          <t>~50</t>
        </is>
      </c>
      <c r="F19" s="49" t="inlineStr">
        <is>
          <t>~20/m²
✅ Fine</t>
        </is>
      </c>
      <c r="G19" s="54" t="inlineStr">
        <is>
          <t>Runts and smallest fish. Watch closely — if growth is very poor, harvest early.</t>
        </is>
      </c>
    </row>
    <row r="20" ht="52" customHeight="1">
      <c r="B20" s="72" t="inlineStr">
        <is>
          <t>Phase 3
(Pre-Harvest)</t>
        </is>
      </c>
      <c r="C20" s="73" t="inlineStr">
        <is>
          <t>Week 20–22</t>
        </is>
      </c>
      <c r="D20" s="72" t="inlineStr">
        <is>
          <t>Consolidate as
numbers reduce</t>
        </is>
      </c>
      <c r="E20" s="73" t="inlineStr">
        <is>
          <t>~495
total surviving</t>
        </is>
      </c>
      <c r="F20" s="73" t="inlineStr">
        <is>
          <t>Redistribute
as needed</t>
        </is>
      </c>
      <c r="G20" s="72" t="inlineStr">
        <is>
          <t>By now mortality has reduced numbers. Consolidate tanks to optimize density.</t>
        </is>
      </c>
    </row>
    <row r="22" ht="26" customHeight="1">
      <c r="A22" s="65" t="inlineStr">
        <is>
          <t>WATER CHANGE SCHEDULE (based on tank size &amp; stocking)</t>
        </is>
      </c>
      <c r="B22" s="66" t="n"/>
      <c r="C22" s="66" t="n"/>
      <c r="D22" s="66" t="n"/>
      <c r="E22" s="66" t="n"/>
      <c r="F22" s="67" t="n"/>
      <c r="G22" s="3" t="n"/>
    </row>
    <row r="23" ht="36" customHeight="1">
      <c r="B23" s="53" t="inlineStr">
        <is>
          <t>Tank</t>
        </is>
      </c>
      <c r="C23" s="53" t="inlineStr">
        <is>
          <t>Phase 1
(Weeks 1–8)</t>
        </is>
      </c>
      <c r="D23" s="53" t="inlineStr">
        <is>
          <t>Phase 2
(Weeks 8–16)</t>
        </is>
      </c>
      <c r="E23" s="53" t="inlineStr">
        <is>
          <t>Phase 3
(Weeks 16–26)</t>
        </is>
      </c>
      <c r="F23" s="53" t="inlineStr">
        <is>
          <t>Volume to
Change</t>
        </is>
      </c>
      <c r="G23" s="53" t="inlineStr">
        <is>
          <t>Warning Trigger</t>
        </is>
      </c>
    </row>
    <row r="24" ht="50" customHeight="1">
      <c r="B24" s="54" t="inlineStr">
        <is>
          <t>Tarpaulin</t>
        </is>
      </c>
      <c r="C24" s="54" t="inlineStr">
        <is>
          <t>Every 3 days
(20–30%)</t>
        </is>
      </c>
      <c r="D24" s="54" t="inlineStr">
        <is>
          <t>Every 2–3 days
(30%)</t>
        </is>
      </c>
      <c r="E24" s="54" t="inlineStr">
        <is>
          <t>Every 2 days
(30%)</t>
        </is>
      </c>
      <c r="F24" s="54" t="inlineStr">
        <is>
          <t>20–30%
of volume</t>
        </is>
      </c>
      <c r="G24" s="54" t="inlineStr">
        <is>
          <t>Ammonia &gt;0.5ppm
or fish gasping
at surface</t>
        </is>
      </c>
    </row>
    <row r="25" ht="50" customHeight="1">
      <c r="B25" s="55" t="inlineStr">
        <is>
          <t>5,000L half-tank</t>
        </is>
      </c>
      <c r="C25" s="55" t="inlineStr">
        <is>
          <t>N/A (empty)</t>
        </is>
      </c>
      <c r="D25" s="55" t="inlineStr">
        <is>
          <t>Every 2–3 days
(25–30%)</t>
        </is>
      </c>
      <c r="E25" s="55" t="inlineStr">
        <is>
          <t>Every 2 days
(30%)</t>
        </is>
      </c>
      <c r="F25" s="55" t="inlineStr">
        <is>
          <t>20–30%
of volume</t>
        </is>
      </c>
      <c r="G25" s="55" t="inlineStr">
        <is>
          <t>Same as above</t>
        </is>
      </c>
    </row>
    <row r="26" ht="50" customHeight="1">
      <c r="B26" s="54" t="inlineStr">
        <is>
          <t>3,500–4,000L
half-tank</t>
        </is>
      </c>
      <c r="C26" s="54" t="inlineStr">
        <is>
          <t>N/A (empty)</t>
        </is>
      </c>
      <c r="D26" s="54" t="inlineStr">
        <is>
          <t>Every 2 days
(30%)</t>
        </is>
      </c>
      <c r="E26" s="54" t="inlineStr">
        <is>
          <t>Every 2 days
(30%)</t>
        </is>
      </c>
      <c r="F26" s="54" t="inlineStr">
        <is>
          <t>25–30%
of volume</t>
        </is>
      </c>
      <c r="G26" s="54" t="inlineStr">
        <is>
          <t>Same as above</t>
        </is>
      </c>
    </row>
    <row r="27" ht="50" customHeight="1">
      <c r="B27" s="55" t="inlineStr">
        <is>
          <t>2,500L half-tank</t>
        </is>
      </c>
      <c r="C27" s="55" t="inlineStr">
        <is>
          <t>N/A (empty)</t>
        </is>
      </c>
      <c r="D27" s="55" t="inlineStr">
        <is>
          <t>Every 2 days
(30–35%)</t>
        </is>
      </c>
      <c r="E27" s="55" t="inlineStr">
        <is>
          <t>Daily if crowded
(25%)</t>
        </is>
      </c>
      <c r="F27" s="55" t="inlineStr">
        <is>
          <t>25–35%
of volume</t>
        </is>
      </c>
      <c r="G27" s="55" t="inlineStr">
        <is>
          <t>Most vulnerable tank.
Change water more
frequently.</t>
        </is>
      </c>
    </row>
    <row r="29" ht="40" customHeight="1">
      <c r="A29" s="74" t="inlineStr">
        <is>
          <t>💡 PRO TIP: With a borehole, always let new water sit/flow slowly into the tank — don't dump cold borehole water directly onto fish. Temperature shock kills. Match water temp within 2–3°C before adding.</t>
        </is>
      </c>
      <c r="B29" s="63" t="n"/>
      <c r="C29" s="63" t="n"/>
      <c r="D29" s="63" t="n"/>
      <c r="E29" s="63" t="n"/>
      <c r="F29" s="64" t="n"/>
    </row>
  </sheetData>
  <mergeCells count="8">
    <mergeCell ref="A11:F11"/>
    <mergeCell ref="A9:D9"/>
    <mergeCell ref="A13:F13"/>
    <mergeCell ref="A1:F1"/>
    <mergeCell ref="A22:F22"/>
    <mergeCell ref="A3:F3"/>
    <mergeCell ref="E9:F9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20" customWidth="1" min="23" max="23"/>
  </cols>
  <sheetData>
    <row r="1" ht="38" customHeight="1">
      <c r="A1" s="23" t="inlineStr">
        <is>
          <t>📅  YEAR-ROUND PRODUCTION CALENDAR — 550 JUVENILES | STAGGERED BATCH SYSTEM</t>
        </is>
      </c>
    </row>
    <row r="3" ht="26" customHeight="1">
      <c r="A3" s="46" t="inlineStr">
        <is>
          <t>STEP 1 — WHICH TANK TO START IN (Answer: Start in the TWO SMALLER TANKS, not the tarpaulin)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8" customHeight="1">
      <c r="B4" s="76" t="inlineStr">
        <is>
          <t>Tank</t>
        </is>
      </c>
      <c r="C4" s="76" t="inlineStr">
        <is>
          <t>Start Here?</t>
        </is>
      </c>
      <c r="D4" s="76" t="inlineStr">
        <is>
          <t>Starting Fish</t>
        </is>
      </c>
      <c r="E4" s="76" t="inlineStr">
        <is>
          <t>Why</t>
        </is>
      </c>
      <c r="F4" s="76" t="inlineStr">
        <is>
          <t>Move To (Week 3–4)</t>
        </is>
      </c>
      <c r="G4" s="3" t="n"/>
      <c r="H4" s="3" t="n"/>
      <c r="I4" s="3" t="n"/>
      <c r="J4" s="3" t="n"/>
      <c r="K4" s="3" t="n"/>
    </row>
    <row r="5" ht="52" customHeight="1">
      <c r="B5" s="77" t="inlineStr">
        <is>
          <t>5,000L Half-Tank
(~2,000L working)</t>
        </is>
      </c>
      <c r="C5" s="78" t="inlineStr">
        <is>
          <t>✅ YES — START HERE</t>
        </is>
      </c>
      <c r="D5" s="79" t="inlineStr">
        <is>
          <t>~300 juveniles</t>
        </is>
      </c>
      <c r="E5" s="80" t="inlineStr">
        <is>
          <t>Juveniles at 10–100g need SMALLER space for better feed control, easy monitoring &amp; faster response to problems. Don't waste tarpaulin space on small fish.</t>
        </is>
      </c>
      <c r="F5" s="3" t="n"/>
      <c r="G5" s="3" t="n"/>
      <c r="H5" s="3" t="n"/>
      <c r="I5" s="80" t="inlineStr">
        <is>
          <t>Tarpaulin after Sort 1 (Week 3–4)</t>
        </is>
      </c>
      <c r="J5" s="3" t="n"/>
      <c r="K5" s="3" t="n"/>
    </row>
    <row r="6" ht="52" customHeight="1">
      <c r="B6" s="81" t="inlineStr">
        <is>
          <t>3,500–4,000L Half-Tank
(~1,500L working)</t>
        </is>
      </c>
      <c r="C6" s="82" t="inlineStr">
        <is>
          <t>✅ YES — START HERE</t>
        </is>
      </c>
      <c r="D6" s="83" t="inlineStr">
        <is>
          <t>~250 juveniles</t>
        </is>
      </c>
      <c r="E6" s="84" t="inlineStr">
        <is>
          <t>Same reason. Split the 550 between these two. You can see every fish easily, uneaten feed is visible, water quality is easier to maintain.</t>
        </is>
      </c>
      <c r="F6" s="3" t="n"/>
      <c r="G6" s="3" t="n"/>
      <c r="H6" s="3" t="n"/>
      <c r="I6" s="84" t="inlineStr">
        <is>
          <t>Tarpaulin after Sort 1 (Week 3–4)</t>
        </is>
      </c>
      <c r="J6" s="3" t="n"/>
      <c r="K6" s="3" t="n"/>
    </row>
    <row r="7" ht="52" customHeight="1">
      <c r="B7" s="85" t="inlineStr">
        <is>
          <t>Tarpaulin
12×12×4ft (~8,000L)</t>
        </is>
      </c>
      <c r="C7" s="86" t="inlineStr">
        <is>
          <t>⏳ NOT YET
(Phase 2 onwards)</t>
        </is>
      </c>
      <c r="D7" s="87" t="inlineStr">
        <is>
          <t>Empty at start</t>
        </is>
      </c>
      <c r="E7" s="88" t="inlineStr">
        <is>
          <t>Too large for juveniles — feed disperses, fish scatter, hard to observe. Reserve for growing/grower phase when fish are 100g+ and need the space.</t>
        </is>
      </c>
      <c r="F7" s="3" t="n"/>
      <c r="G7" s="3" t="n"/>
      <c r="H7" s="3" t="n"/>
      <c r="I7" s="88" t="inlineStr">
        <is>
          <t>Use from Week 3–4 onwards</t>
        </is>
      </c>
      <c r="J7" s="3" t="n"/>
      <c r="K7" s="3" t="n"/>
    </row>
    <row r="8" ht="52" customHeight="1">
      <c r="B8" s="89" t="inlineStr">
        <is>
          <t>2,500L Half-Tank
(~1,000L working)</t>
        </is>
      </c>
      <c r="C8" s="90" t="inlineStr">
        <is>
          <t>⏳ NOT YET
(Sorting only)</t>
        </is>
      </c>
      <c r="D8" s="91" t="inlineStr">
        <is>
          <t>Empty at start</t>
        </is>
      </c>
      <c r="E8" s="92" t="inlineStr">
        <is>
          <t>Reserve this tank exclusively for runts/smallest fish after Sort 1. Also serves as quarantine tank if any fish look sick.</t>
        </is>
      </c>
      <c r="F8" s="3" t="n"/>
      <c r="G8" s="3" t="n"/>
      <c r="H8" s="3" t="n"/>
      <c r="I8" s="92" t="inlineStr">
        <is>
          <t>Runts &amp; sick fish only</t>
        </is>
      </c>
      <c r="J8" s="3" t="n"/>
      <c r="K8" s="3" t="n"/>
    </row>
    <row r="10" ht="36" customHeight="1">
      <c r="A10" s="74" t="inlineStr">
        <is>
          <t>💡 KEY INSIGHT: Starting juveniles in smaller tanks = better feed efficiency (less waste = lower cost), faster detection of problems, and easier first sort at Week 3–4. Move to tarpaulin as fish grow.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2" ht="26" customHeight="1">
      <c r="A12" s="46" t="inlineStr">
        <is>
          <t>STEP 2 — BATCH A: WEEK-BY-WEEK TANK MOVEMENT (550 Juveniles, ~16–18 Week Cycle)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 ht="32" customHeight="1">
      <c r="B13" s="76" t="inlineStr">
        <is>
          <t>Tank / Action</t>
        </is>
      </c>
      <c r="C13" s="76" t="inlineStr">
        <is>
          <t>Wk 1</t>
        </is>
      </c>
      <c r="D13" s="76" t="inlineStr">
        <is>
          <t>Wk 2</t>
        </is>
      </c>
      <c r="E13" s="93" t="inlineStr">
        <is>
          <t>Wk 3
(Sort 1)</t>
        </is>
      </c>
      <c r="F13" s="76" t="inlineStr">
        <is>
          <t>Wk 4</t>
        </is>
      </c>
      <c r="G13" s="76" t="inlineStr">
        <is>
          <t>Wk 5</t>
        </is>
      </c>
      <c r="H13" s="76" t="inlineStr">
        <is>
          <t>Wk 6</t>
        </is>
      </c>
      <c r="I13" s="76" t="inlineStr">
        <is>
          <t>Wk 7</t>
        </is>
      </c>
      <c r="J13" s="93" t="inlineStr">
        <is>
          <t>Wk 8
(Sort 2)</t>
        </is>
      </c>
      <c r="K13" s="76" t="inlineStr">
        <is>
          <t>Wk 9</t>
        </is>
      </c>
      <c r="L13" s="76" t="inlineStr">
        <is>
          <t>Wk 10</t>
        </is>
      </c>
      <c r="M13" s="76" t="inlineStr">
        <is>
          <t>Wk 11</t>
        </is>
      </c>
      <c r="N13" s="76" t="inlineStr">
        <is>
          <t>Wk 12</t>
        </is>
      </c>
      <c r="O13" s="76" t="inlineStr">
        <is>
          <t>Wk 13</t>
        </is>
      </c>
      <c r="P13" s="93" t="inlineStr">
        <is>
          <t>Wk 14
(Sort 3)</t>
        </is>
      </c>
      <c r="Q13" s="76" t="inlineStr">
        <is>
          <t>Wk 15</t>
        </is>
      </c>
      <c r="R13" s="76" t="inlineStr">
        <is>
          <t>Wk 16</t>
        </is>
      </c>
      <c r="S13" s="93" t="inlineStr">
        <is>
          <t>Wk 17
(Sort 4)</t>
        </is>
      </c>
      <c r="T13" s="94" t="inlineStr">
        <is>
          <t>Wk 18
🎣 HARVEST</t>
        </is>
      </c>
      <c r="U13" s="3" t="n"/>
    </row>
    <row r="14" ht="52" customHeight="1">
      <c r="B14" s="89" t="inlineStr">
        <is>
          <t>5,000L Half-Tank
(~2,000L working)</t>
        </is>
      </c>
      <c r="C14" s="79" t="inlineStr">
        <is>
          <t>300 fish
Juveniles</t>
        </is>
      </c>
      <c r="D14" s="79" t="inlineStr">
        <is>
          <t>300 fish
Feeding</t>
        </is>
      </c>
      <c r="E14" s="95" t="inlineStr">
        <is>
          <t>⚡SORT 1
Grade fish</t>
        </is>
      </c>
      <c r="F14" s="96" t="inlineStr">
        <is>
          <t>Moving to
tarpaulin</t>
        </is>
      </c>
      <c r="G14" s="97" t="inlineStr">
        <is>
          <t>EMPTY
Clean tank</t>
        </is>
      </c>
      <c r="H14" s="97" t="inlineStr">
        <is>
          <t>EMPTY</t>
        </is>
      </c>
      <c r="I14" s="97" t="inlineStr">
        <is>
          <t>EMPTY</t>
        </is>
      </c>
      <c r="J14" s="95" t="inlineStr">
        <is>
          <t>⚡SORT 2
Receive
medium fish</t>
        </is>
      </c>
      <c r="K14" s="98" t="inlineStr">
        <is>
          <t>~150 fish
Growing</t>
        </is>
      </c>
      <c r="L14" s="98" t="inlineStr">
        <is>
          <t>~150 fish
Growing</t>
        </is>
      </c>
      <c r="M14" s="98" t="inlineStr">
        <is>
          <t>~150 fish
Growing</t>
        </is>
      </c>
      <c r="N14" s="79" t="inlineStr">
        <is>
          <t>~140 fish
Growing</t>
        </is>
      </c>
      <c r="O14" s="79" t="inlineStr">
        <is>
          <t>~140 fish
Growing</t>
        </is>
      </c>
      <c r="P14" s="95" t="inlineStr">
        <is>
          <t>⚡SORT 3
Grade</t>
        </is>
      </c>
      <c r="Q14" s="79" t="inlineStr">
        <is>
          <t>~130 fish
Finisher</t>
        </is>
      </c>
      <c r="R14" s="79" t="inlineStr">
        <is>
          <t>~130 fish
Finisher</t>
        </is>
      </c>
      <c r="S14" s="95" t="inlineStr">
        <is>
          <t>⚡SORT 4
Pre-harvest</t>
        </is>
      </c>
      <c r="T14" s="94" t="inlineStr">
        <is>
          <t>🎣 HARVEST
Batch A</t>
        </is>
      </c>
      <c r="U14" s="3" t="n"/>
    </row>
    <row r="15" ht="52" customHeight="1">
      <c r="B15" s="89" t="inlineStr">
        <is>
          <t>3,500–4,000L Half-Tank
(~1,500L working)</t>
        </is>
      </c>
      <c r="C15" s="79" t="inlineStr">
        <is>
          <t>250 fish
Juveniles</t>
        </is>
      </c>
      <c r="D15" s="79" t="inlineStr">
        <is>
          <t>250 fish
Feeding</t>
        </is>
      </c>
      <c r="E15" s="95" t="inlineStr">
        <is>
          <t>⚡SORT 1
Grade fish</t>
        </is>
      </c>
      <c r="F15" s="96" t="inlineStr">
        <is>
          <t>Moving to
tarpaulin</t>
        </is>
      </c>
      <c r="G15" s="97" t="inlineStr">
        <is>
          <t>EMPTY
Clean tank</t>
        </is>
      </c>
      <c r="H15" s="97" t="inlineStr">
        <is>
          <t>EMPTY</t>
        </is>
      </c>
      <c r="I15" s="97" t="inlineStr">
        <is>
          <t>EMPTY</t>
        </is>
      </c>
      <c r="J15" s="95" t="inlineStr">
        <is>
          <t>⚡SORT 2
Receive
small-med fish</t>
        </is>
      </c>
      <c r="K15" s="98" t="inlineStr">
        <is>
          <t>~120 fish
Growing</t>
        </is>
      </c>
      <c r="L15" s="98" t="inlineStr">
        <is>
          <t>~120 fish
Growing</t>
        </is>
      </c>
      <c r="M15" s="98" t="inlineStr">
        <is>
          <t>~120 fish
Growing</t>
        </is>
      </c>
      <c r="N15" s="79" t="inlineStr">
        <is>
          <t>~110 fish
Growing</t>
        </is>
      </c>
      <c r="O15" s="79" t="inlineStr">
        <is>
          <t>~110 fish
Growing</t>
        </is>
      </c>
      <c r="P15" s="95" t="inlineStr">
        <is>
          <t>⚡SORT 3
Consolidate</t>
        </is>
      </c>
      <c r="Q15" s="79" t="inlineStr">
        <is>
          <t>~100 fish
Finisher</t>
        </is>
      </c>
      <c r="R15" s="79" t="inlineStr">
        <is>
          <t>~100 fish
Finisher</t>
        </is>
      </c>
      <c r="S15" s="95" t="inlineStr">
        <is>
          <t>⚡SORT 4</t>
        </is>
      </c>
      <c r="T15" s="94" t="inlineStr">
        <is>
          <t>🎣 HARVEST
Batch A</t>
        </is>
      </c>
      <c r="U15" s="3" t="n"/>
    </row>
    <row r="16" ht="52" customHeight="1">
      <c r="B16" s="89" t="inlineStr">
        <is>
          <t>Tarpaulin 12×12×4ft
(~8,000L working)</t>
        </is>
      </c>
      <c r="C16" s="97" t="inlineStr">
        <is>
          <t>EMPTY
(reserve)</t>
        </is>
      </c>
      <c r="D16" s="97" t="inlineStr">
        <is>
          <t>EMPTY
(reserve)</t>
        </is>
      </c>
      <c r="E16" s="99" t="inlineStr">
        <is>
          <t>⚡Receiving
all sorted fish</t>
        </is>
      </c>
      <c r="F16" s="98" t="inlineStr">
        <is>
          <t>~500 fish
All together</t>
        </is>
      </c>
      <c r="G16" s="98" t="inlineStr">
        <is>
          <t>~500 fish
Growing fast</t>
        </is>
      </c>
      <c r="H16" s="79" t="inlineStr">
        <is>
          <t>~490 fish
Growing</t>
        </is>
      </c>
      <c r="I16" s="79" t="inlineStr">
        <is>
          <t>~490 fish
Growing</t>
        </is>
      </c>
      <c r="J16" s="95" t="inlineStr">
        <is>
          <t>⚡SORT 2
Move big fish
back here</t>
        </is>
      </c>
      <c r="K16" s="79" t="inlineStr">
        <is>
          <t>~200 biggest
fish here</t>
        </is>
      </c>
      <c r="L16" s="79" t="inlineStr">
        <is>
          <t>~200 fish
Grower</t>
        </is>
      </c>
      <c r="M16" s="79" t="inlineStr">
        <is>
          <t>~200 fish
Grower</t>
        </is>
      </c>
      <c r="N16" s="79" t="inlineStr">
        <is>
          <t>~190 fish
Grower→Finish</t>
        </is>
      </c>
      <c r="O16" s="79" t="inlineStr">
        <is>
          <t>~190 fish
Finisher</t>
        </is>
      </c>
      <c r="P16" s="95" t="inlineStr">
        <is>
          <t>⚡SORT 3</t>
        </is>
      </c>
      <c r="Q16" s="79" t="inlineStr">
        <is>
          <t>~180 fish
Finisher</t>
        </is>
      </c>
      <c r="R16" s="79" t="inlineStr">
        <is>
          <t>~180 fish
Finisher
800g–1kg+</t>
        </is>
      </c>
      <c r="S16" s="95" t="inlineStr">
        <is>
          <t>⚡SORT 4
Harvest ready</t>
        </is>
      </c>
      <c r="T16" s="94" t="inlineStr">
        <is>
          <t>🎣 HARVEST
First — biggest
fish here</t>
        </is>
      </c>
      <c r="U16" s="3" t="n"/>
    </row>
    <row r="17" ht="52" customHeight="1">
      <c r="B17" s="89" t="inlineStr">
        <is>
          <t>2,500L Half-Tank
(~1,000L working)
[Runts &amp; Quarantine]</t>
        </is>
      </c>
      <c r="C17" s="97" t="inlineStr">
        <is>
          <t>EMPTY
(quarantine)</t>
        </is>
      </c>
      <c r="D17" s="97" t="inlineStr">
        <is>
          <t>EMPTY</t>
        </is>
      </c>
      <c r="E17" s="99" t="inlineStr">
        <is>
          <t>⚡Receiving
runts from
Sort 1</t>
        </is>
      </c>
      <c r="F17" s="87" t="inlineStr">
        <is>
          <t>~50 runts
Separated</t>
        </is>
      </c>
      <c r="G17" s="87" t="inlineStr">
        <is>
          <t>~50 runts
Monitor closely</t>
        </is>
      </c>
      <c r="H17" s="87" t="inlineStr">
        <is>
          <t>~50 fish
Catch-up growth</t>
        </is>
      </c>
      <c r="I17" s="87" t="inlineStr">
        <is>
          <t>~45 fish</t>
        </is>
      </c>
      <c r="J17" s="95" t="inlineStr">
        <is>
          <t>⚡SORT 2
Assess runts</t>
        </is>
      </c>
      <c r="K17" s="87" t="inlineStr">
        <is>
          <t>~40 fish
Smallest group</t>
        </is>
      </c>
      <c r="L17" s="87" t="inlineStr">
        <is>
          <t>~40 fish</t>
        </is>
      </c>
      <c r="M17" s="79" t="inlineStr">
        <is>
          <t>~40 fish
Growing</t>
        </is>
      </c>
      <c r="N17" s="79" t="inlineStr">
        <is>
          <t>~38 fish
Growing</t>
        </is>
      </c>
      <c r="O17" s="79" t="inlineStr">
        <is>
          <t>~38 fish
Growing</t>
        </is>
      </c>
      <c r="P17" s="95" t="inlineStr">
        <is>
          <t>⚡SORT 3
Merge if
big enough</t>
        </is>
      </c>
      <c r="Q17" s="79" t="inlineStr">
        <is>
          <t>~35 fish
or merge up</t>
        </is>
      </c>
      <c r="R17" s="79" t="inlineStr">
        <is>
          <t>~35 fish</t>
        </is>
      </c>
      <c r="S17" s="99" t="inlineStr">
        <is>
          <t>⚡Early harvest
or hold</t>
        </is>
      </c>
      <c r="T17" s="94" t="inlineStr">
        <is>
          <t>🎣 HARVEST
or hold for
Batch B start</t>
        </is>
      </c>
      <c r="U17" s="3" t="n"/>
    </row>
    <row r="19" ht="20" customHeight="1">
      <c r="A19" s="100" t="inlineStr">
        <is>
          <t>LEGEND:</t>
        </is>
      </c>
    </row>
    <row r="20" ht="20" customHeight="1">
      <c r="B20" s="101" t="inlineStr">
        <is>
          <t xml:space="preserve">  Fish growing here</t>
        </is>
      </c>
      <c r="E20" s="102" t="inlineStr">
        <is>
          <t xml:space="preserve">  Fish just moved in</t>
        </is>
      </c>
      <c r="H20" s="103" t="inlineStr">
        <is>
          <t xml:space="preserve">  Sorting day</t>
        </is>
      </c>
      <c r="K20" s="104" t="inlineStr">
        <is>
          <t xml:space="preserve">  Fish moving out</t>
        </is>
      </c>
      <c r="N20" s="105" t="inlineStr">
        <is>
          <t xml:space="preserve">  Runts / watch closely</t>
        </is>
      </c>
      <c r="Q20" s="106" t="inlineStr">
        <is>
          <t xml:space="preserve">  Harvest</t>
        </is>
      </c>
      <c r="T20" s="107" t="inlineStr">
        <is>
          <t xml:space="preserve">  Tank empty / resting</t>
        </is>
      </c>
    </row>
    <row r="22" ht="26" customHeight="1">
      <c r="A22" s="46" t="inlineStr">
        <is>
          <t>STEP 3 — YEAR-ROUND PRODUCTION: STAGGERED BATCH CALENDAR (4 Batches Per Year)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 ht="24" customHeight="1">
      <c r="B23" s="76" t="inlineStr">
        <is>
          <t>Batch</t>
        </is>
      </c>
      <c r="C23" s="108" t="inlineStr">
        <is>
          <t>Jan</t>
        </is>
      </c>
      <c r="D23" s="76" t="inlineStr">
        <is>
          <t>Feb</t>
        </is>
      </c>
      <c r="E23" s="76" t="inlineStr">
        <is>
          <t>Mar</t>
        </is>
      </c>
      <c r="F23" s="76" t="inlineStr">
        <is>
          <t>Apr</t>
        </is>
      </c>
      <c r="G23" s="76" t="inlineStr">
        <is>
          <t>May</t>
        </is>
      </c>
      <c r="H23" s="76" t="inlineStr">
        <is>
          <t>Jun</t>
        </is>
      </c>
      <c r="I23" s="76" t="inlineStr">
        <is>
          <t>Jul</t>
        </is>
      </c>
      <c r="J23" s="76" t="inlineStr">
        <is>
          <t>Aug</t>
        </is>
      </c>
      <c r="K23" s="76" t="inlineStr">
        <is>
          <t>Sep</t>
        </is>
      </c>
      <c r="L23" s="76" t="inlineStr">
        <is>
          <t>Oct</t>
        </is>
      </c>
      <c r="M23" s="76" t="inlineStr">
        <is>
          <t>Nov</t>
        </is>
      </c>
      <c r="N23" s="94" t="inlineStr">
        <is>
          <t>Dec</t>
        </is>
      </c>
      <c r="O23" s="108" t="inlineStr">
        <is>
          <t>Jan+</t>
        </is>
      </c>
      <c r="P23" s="76" t="inlineStr">
        <is>
          <t>Feb+</t>
        </is>
      </c>
      <c r="Q23" s="76" t="inlineStr">
        <is>
          <t>Mar+</t>
        </is>
      </c>
      <c r="R23" s="76" t="inlineStr">
        <is>
          <t>Apr+</t>
        </is>
      </c>
      <c r="S23" s="76" t="inlineStr">
        <is>
          <t>May+</t>
        </is>
      </c>
      <c r="T23" s="76" t="inlineStr">
        <is>
          <t>Jun+</t>
        </is>
      </c>
      <c r="U23" s="3" t="n"/>
    </row>
    <row r="24" ht="48" customHeight="1">
      <c r="B24" s="89" t="inlineStr">
        <is>
          <t>🅐 Batch A
(Your first cycle)</t>
        </is>
      </c>
      <c r="C24" s="109" t="inlineStr">
        <is>
          <t>Stock
550 juv</t>
        </is>
      </c>
      <c r="D24" s="110" t="inlineStr">
        <is>
          <t>Growing</t>
        </is>
      </c>
      <c r="E24" s="110" t="inlineStr"/>
      <c r="F24" s="110" t="inlineStr">
        <is>
          <t>Growing</t>
        </is>
      </c>
      <c r="G24" s="110" t="inlineStr"/>
      <c r="H24" s="110" t="inlineStr">
        <is>
          <t>Grower</t>
        </is>
      </c>
      <c r="I24" s="111" t="inlineStr">
        <is>
          <t>🎣 HARVEST
~May</t>
        </is>
      </c>
      <c r="J24" s="112" t="inlineStr"/>
      <c r="K24" s="112" t="inlineStr"/>
      <c r="L24" s="112" t="inlineStr"/>
      <c r="M24" s="112" t="inlineStr"/>
      <c r="N24" s="112" t="inlineStr"/>
      <c r="O24" s="112" t="inlineStr"/>
      <c r="P24" s="112" t="inlineStr"/>
      <c r="Q24" s="112" t="inlineStr"/>
      <c r="R24" s="112" t="inlineStr"/>
      <c r="S24" s="112" t="inlineStr"/>
      <c r="T24" s="112" t="inlineStr"/>
      <c r="U24" s="3" t="n"/>
    </row>
    <row r="25" ht="48" customHeight="1">
      <c r="B25" s="89" t="inlineStr">
        <is>
          <t>🅑 Batch B
(Start after ~10wks)</t>
        </is>
      </c>
      <c r="C25" s="112" t="inlineStr"/>
      <c r="D25" s="112" t="inlineStr"/>
      <c r="E25" s="109" t="inlineStr">
        <is>
          <t>Stock
550 juv</t>
        </is>
      </c>
      <c r="F25" s="110" t="inlineStr">
        <is>
          <t>Growing</t>
        </is>
      </c>
      <c r="G25" s="110" t="inlineStr"/>
      <c r="H25" s="110" t="inlineStr">
        <is>
          <t>Growing</t>
        </is>
      </c>
      <c r="I25" s="110" t="inlineStr"/>
      <c r="J25" s="110" t="inlineStr">
        <is>
          <t>Grower</t>
        </is>
      </c>
      <c r="K25" s="111" t="inlineStr">
        <is>
          <t>🎣 HARVEST
~Aug</t>
        </is>
      </c>
      <c r="L25" s="112" t="inlineStr"/>
      <c r="M25" s="112" t="inlineStr"/>
      <c r="N25" s="112" t="inlineStr"/>
      <c r="O25" s="112" t="inlineStr"/>
      <c r="P25" s="112" t="inlineStr"/>
      <c r="Q25" s="112" t="inlineStr"/>
      <c r="R25" s="112" t="inlineStr"/>
      <c r="S25" s="112" t="inlineStr"/>
      <c r="T25" s="112" t="inlineStr"/>
      <c r="U25" s="3" t="n"/>
    </row>
    <row r="26" ht="48" customHeight="1">
      <c r="B26" s="89" t="inlineStr">
        <is>
          <t>🅒 Batch C
(Start ~10wks after B)</t>
        </is>
      </c>
      <c r="C26" s="112" t="inlineStr"/>
      <c r="D26" s="112" t="inlineStr"/>
      <c r="E26" s="112" t="inlineStr"/>
      <c r="F26" s="112" t="inlineStr"/>
      <c r="G26" s="112" t="inlineStr"/>
      <c r="H26" s="109" t="inlineStr">
        <is>
          <t>Stock
550 juv</t>
        </is>
      </c>
      <c r="I26" s="110" t="inlineStr">
        <is>
          <t>Growing</t>
        </is>
      </c>
      <c r="J26" s="110" t="inlineStr"/>
      <c r="K26" s="110" t="inlineStr">
        <is>
          <t>Growing</t>
        </is>
      </c>
      <c r="L26" s="110" t="inlineStr"/>
      <c r="M26" s="110" t="inlineStr">
        <is>
          <t>Grower</t>
        </is>
      </c>
      <c r="N26" s="111" t="inlineStr">
        <is>
          <t>🎣 HARVEST
~Oct</t>
        </is>
      </c>
      <c r="O26" s="112" t="inlineStr"/>
      <c r="P26" s="112" t="inlineStr"/>
      <c r="Q26" s="112" t="inlineStr"/>
      <c r="R26" s="112" t="inlineStr"/>
      <c r="S26" s="112" t="inlineStr"/>
      <c r="T26" s="112" t="inlineStr"/>
      <c r="U26" s="3" t="n"/>
    </row>
    <row r="27" ht="48" customHeight="1">
      <c r="B27" s="89" t="inlineStr">
        <is>
          <t>🅓 Batch D
(Target Dec harvest🔥)</t>
        </is>
      </c>
      <c r="C27" s="112" t="inlineStr"/>
      <c r="D27" s="112" t="inlineStr"/>
      <c r="E27" s="112" t="inlineStr"/>
      <c r="F27" s="112" t="inlineStr"/>
      <c r="G27" s="112" t="inlineStr"/>
      <c r="H27" s="112" t="inlineStr"/>
      <c r="I27" s="112" t="inlineStr"/>
      <c r="J27" s="109" t="inlineStr">
        <is>
          <t>Stock
550 juv</t>
        </is>
      </c>
      <c r="K27" s="110" t="inlineStr">
        <is>
          <t>Growing</t>
        </is>
      </c>
      <c r="L27" s="110" t="inlineStr"/>
      <c r="M27" s="110" t="inlineStr">
        <is>
          <t>Growing</t>
        </is>
      </c>
      <c r="N27" s="110" t="inlineStr"/>
      <c r="O27" s="110" t="inlineStr">
        <is>
          <t>Grower</t>
        </is>
      </c>
      <c r="P27" s="111" t="inlineStr">
        <is>
          <t>🎄 HARVEST
DEC PREMIUM
🔥+30–50%</t>
        </is>
      </c>
      <c r="Q27" s="112" t="inlineStr"/>
      <c r="R27" s="112" t="inlineStr"/>
      <c r="S27" s="112" t="inlineStr"/>
      <c r="T27" s="112" t="inlineStr"/>
      <c r="U27" s="3" t="n"/>
    </row>
    <row r="28" ht="30" customHeight="1">
      <c r="A28" s="113" t="inlineStr">
        <is>
          <t>ANNUAL REVENUE PROJECTION (4 Batches × ~₦695,000–₦1,390,000 per batch) = ₦2,780,000–₦5,560,000 per year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30" ht="26" customHeight="1">
      <c r="A30" s="46" t="inlineStr">
        <is>
          <t>STEP 4 — DO YOU NEED MORE TANKS FOR NON-STOP PRODUCTION?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</row>
    <row r="31" ht="28" customHeight="1">
      <c r="B31" s="76" t="inlineStr">
        <is>
          <t>Scenario</t>
        </is>
      </c>
      <c r="C31" s="3" t="n"/>
      <c r="D31" s="76" t="inlineStr">
        <is>
          <t>Current 4 Tanks</t>
        </is>
      </c>
      <c r="E31" s="3" t="n"/>
      <c r="F31" s="3" t="n"/>
      <c r="G31" s="76" t="inlineStr">
        <is>
          <t>Recommendation</t>
        </is>
      </c>
      <c r="H31" s="3" t="n"/>
      <c r="I31" s="3" t="n"/>
      <c r="J31" s="3" t="n"/>
      <c r="K31" s="3" t="n"/>
      <c r="L31" s="76" t="inlineStr">
        <is>
          <t>Extra Tank Needed?</t>
        </is>
      </c>
      <c r="M31" s="3" t="n"/>
      <c r="N31" s="3" t="n"/>
      <c r="O31" s="3" t="n"/>
      <c r="P31" s="76" t="inlineStr">
        <is>
          <t>Notes</t>
        </is>
      </c>
      <c r="Q31" s="3" t="n"/>
      <c r="R31" s="3" t="n"/>
      <c r="S31" s="3" t="n"/>
      <c r="T31" s="3" t="n"/>
      <c r="U31" s="3" t="n"/>
      <c r="V31" s="3" t="n"/>
      <c r="W31" s="3" t="n"/>
    </row>
    <row r="32" ht="52" customHeight="1">
      <c r="B32" s="80" t="inlineStr">
        <is>
          <t>1 batch at a time
(4.5 month gaps)</t>
        </is>
      </c>
      <c r="C32" s="3" t="n"/>
      <c r="D32" s="80" t="inlineStr">
        <is>
          <t>✅ PERFECT
No issues</t>
        </is>
      </c>
      <c r="E32" s="3" t="n"/>
      <c r="F32" s="3" t="n"/>
      <c r="G32" s="80" t="inlineStr">
        <is>
          <t>Run Batch A fully,
harvest, clean,
restock Batch B</t>
        </is>
      </c>
      <c r="H32" s="3" t="n"/>
      <c r="I32" s="3" t="n"/>
      <c r="J32" s="3" t="n"/>
      <c r="K32" s="3" t="n"/>
      <c r="L32" s="80" t="inlineStr">
        <is>
          <t>❌ Not needed</t>
        </is>
      </c>
      <c r="M32" s="3" t="n"/>
      <c r="N32" s="3" t="n"/>
      <c r="O32" s="3" t="n"/>
      <c r="P32" s="80" t="inlineStr">
        <is>
          <t>Best approach for Year 1. Learn your farm first before overlapping batches.</t>
        </is>
      </c>
      <c r="Q32" s="3" t="n"/>
      <c r="R32" s="3" t="n"/>
      <c r="S32" s="3" t="n"/>
      <c r="T32" s="3" t="n"/>
      <c r="U32" s="3" t="n"/>
      <c r="V32" s="3" t="n"/>
      <c r="W32" s="3" t="n"/>
    </row>
    <row r="33" ht="52" customHeight="1">
      <c r="B33" s="114" t="inlineStr">
        <is>
          <t>Staggered batches
(10-week overlap)</t>
        </is>
      </c>
      <c r="C33" s="3" t="n"/>
      <c r="D33" s="114" t="inlineStr">
        <is>
          <t>⚠️ TIGHT but
workable</t>
        </is>
      </c>
      <c r="E33" s="3" t="n"/>
      <c r="F33" s="3" t="n"/>
      <c r="G33" s="114" t="inlineStr">
        <is>
          <t>Stock Batch B in
2,500L + 3,500L
while Batch A finishes
in tarpaulin + 5,000L</t>
        </is>
      </c>
      <c r="H33" s="3" t="n"/>
      <c r="I33" s="3" t="n"/>
      <c r="J33" s="3" t="n"/>
      <c r="K33" s="3" t="n"/>
      <c r="L33" s="114" t="inlineStr">
        <is>
          <t>❌ Not needed
if timed right</t>
        </is>
      </c>
      <c r="M33" s="3" t="n"/>
      <c r="N33" s="3" t="n"/>
      <c r="O33" s="3" t="n"/>
      <c r="P33" s="114" t="inlineStr">
        <is>
          <t>The 2,500L and 3,500L tanks free up ~Wk 14–16 of Batch A. Use them for Batch B start.</t>
        </is>
      </c>
      <c r="Q33" s="3" t="n"/>
      <c r="R33" s="3" t="n"/>
      <c r="S33" s="3" t="n"/>
      <c r="T33" s="3" t="n"/>
      <c r="U33" s="3" t="n"/>
      <c r="V33" s="3" t="n"/>
      <c r="W33" s="3" t="n"/>
    </row>
    <row r="34" ht="52" customHeight="1">
      <c r="B34" s="115" t="inlineStr">
        <is>
          <t>Full simultaneous
batches (500+500)</t>
        </is>
      </c>
      <c r="C34" s="3" t="n"/>
      <c r="D34" s="115" t="inlineStr">
        <is>
          <t>❌ TOO CROWDED
Finisher phase will
be problematic</t>
        </is>
      </c>
      <c r="E34" s="3" t="n"/>
      <c r="F34" s="3" t="n"/>
      <c r="G34" s="115" t="inlineStr">
        <is>
          <t>Don't attempt with
current setup —
overcrowding at
harvest weight</t>
        </is>
      </c>
      <c r="H34" s="3" t="n"/>
      <c r="I34" s="3" t="n"/>
      <c r="J34" s="3" t="n"/>
      <c r="K34" s="3" t="n"/>
      <c r="L34" s="115" t="inlineStr">
        <is>
          <t>✅ YES — need
1 more tarpaulin
or 5,000L+ tank</t>
        </is>
      </c>
      <c r="M34" s="3" t="n"/>
      <c r="N34" s="3" t="n"/>
      <c r="O34" s="3" t="n"/>
      <c r="P34" s="115" t="inlineStr">
        <is>
          <t>If you want to run 1,000+ fish simultaneously, add one more tarpaulin (~₦40,000–₦80,000).</t>
        </is>
      </c>
      <c r="Q34" s="3" t="n"/>
      <c r="R34" s="3" t="n"/>
      <c r="S34" s="3" t="n"/>
      <c r="T34" s="3" t="n"/>
      <c r="U34" s="3" t="n"/>
      <c r="V34" s="3" t="n"/>
      <c r="W34" s="3" t="n"/>
    </row>
    <row r="36" ht="52" customHeight="1">
      <c r="A36" s="116" t="inlineStr">
        <is>
          <t>🏆  RECOMMENDED YEAR 1 STRATEGY: Run Batch A (Jan→May). Harvest. Deep clean tanks (3–5 days). Start Batch B (June→Oct). Harvest. Start Batch C (Oct→Feb+). Target Batch D to finish in December for peak price. You get 2–3 full harvests in Year 1 with current tanks, growing to 4 by Year 2.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</sheetData>
  <mergeCells count="44">
    <mergeCell ref="P34:X34"/>
    <mergeCell ref="L31:O31"/>
    <mergeCell ref="H20:I20"/>
    <mergeCell ref="N20:O20"/>
    <mergeCell ref="D32:F32"/>
    <mergeCell ref="T20:U20"/>
    <mergeCell ref="L34:O34"/>
    <mergeCell ref="A28:W28"/>
    <mergeCell ref="A30:W30"/>
    <mergeCell ref="E7:H7"/>
    <mergeCell ref="B31:C31"/>
    <mergeCell ref="A36:W36"/>
    <mergeCell ref="A1:W1"/>
    <mergeCell ref="E20:F20"/>
    <mergeCell ref="K20:L20"/>
    <mergeCell ref="P32:X32"/>
    <mergeCell ref="I5:K5"/>
    <mergeCell ref="Q20:R20"/>
    <mergeCell ref="I8:K8"/>
    <mergeCell ref="L32:O32"/>
    <mergeCell ref="E5:H5"/>
    <mergeCell ref="D33:F33"/>
    <mergeCell ref="E8:H8"/>
    <mergeCell ref="G34:K34"/>
    <mergeCell ref="B34:C34"/>
    <mergeCell ref="A12:W12"/>
    <mergeCell ref="P33:X33"/>
    <mergeCell ref="A3:W3"/>
    <mergeCell ref="G33:K33"/>
    <mergeCell ref="L33:O33"/>
    <mergeCell ref="D34:F34"/>
    <mergeCell ref="I6:K6"/>
    <mergeCell ref="B33:C33"/>
    <mergeCell ref="A22:W22"/>
    <mergeCell ref="B20:C20"/>
    <mergeCell ref="D31:F31"/>
    <mergeCell ref="E6:H6"/>
    <mergeCell ref="G32:K32"/>
    <mergeCell ref="B32:C32"/>
    <mergeCell ref="P31:X31"/>
    <mergeCell ref="G31:K31"/>
    <mergeCell ref="A19:W19"/>
    <mergeCell ref="A10:W10"/>
    <mergeCell ref="I7:K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10" customHeight="1"/>
    <row r="2" ht="40" customHeight="1">
      <c r="B2" s="1" t="inlineStr">
        <is>
          <t>🐟  CATFISH FARM — ABUJA  |  PRODUCTION TRACKER</t>
        </is>
      </c>
    </row>
    <row r="3" ht="10" customHeight="1"/>
    <row r="4" ht="24" customHeight="1">
      <c r="B4" s="2" t="inlineStr">
        <is>
          <t>FARM DETAILS</t>
        </is>
      </c>
      <c r="C4" s="63" t="n"/>
      <c r="D4" s="63" t="n"/>
      <c r="E4" s="63" t="n"/>
      <c r="F4" s="64" t="n"/>
    </row>
    <row r="5" ht="22" customHeight="1">
      <c r="B5" s="4" t="inlineStr">
        <is>
          <t>Farm Name</t>
        </is>
      </c>
      <c r="C5" s="5" t="inlineStr">
        <is>
          <t>Enter Farm Name</t>
        </is>
      </c>
      <c r="D5" s="4" t="inlineStr">
        <is>
          <t>Start Date</t>
        </is>
      </c>
      <c r="E5" s="6" t="inlineStr">
        <is>
          <t>Enter Start Date</t>
        </is>
      </c>
      <c r="F5" s="64" t="n"/>
    </row>
    <row r="6" ht="22" customHeight="1">
      <c r="B6" s="4" t="inlineStr">
        <is>
          <t>Location</t>
        </is>
      </c>
      <c r="C6" s="5" t="inlineStr">
        <is>
          <t>Abuja, Nigeria</t>
        </is>
      </c>
      <c r="D6" s="4" t="inlineStr">
        <is>
          <t>Target Harvest Date</t>
        </is>
      </c>
      <c r="E6" s="6" t="inlineStr"/>
      <c r="F6" s="64" t="n"/>
    </row>
    <row r="7" ht="22" customHeight="1">
      <c r="B7" s="4" t="inlineStr">
        <is>
          <t>Farmer Name</t>
        </is>
      </c>
      <c r="C7" s="5" t="inlineStr">
        <is>
          <t>Enter Name</t>
        </is>
      </c>
      <c r="D7" s="4" t="inlineStr">
        <is>
          <t>Total Tanks</t>
        </is>
      </c>
      <c r="E7" s="6" t="inlineStr">
        <is>
          <t>4 (incl. tarpaulin)</t>
        </is>
      </c>
      <c r="F7" s="64" t="n"/>
    </row>
    <row r="8" ht="22" customHeight="1">
      <c r="B8" s="4" t="inlineStr">
        <is>
          <t>Phone</t>
        </is>
      </c>
      <c r="C8" s="5" t="inlineStr">
        <is>
          <t>Enter Phone</t>
        </is>
      </c>
      <c r="D8" s="4" t="inlineStr">
        <is>
          <t>Total Capacity (L)</t>
        </is>
      </c>
      <c r="E8" s="6" t="inlineStr">
        <is>
          <t>~27,500 L</t>
        </is>
      </c>
      <c r="F8" s="64" t="n"/>
    </row>
    <row r="10" ht="24" customHeight="1">
      <c r="B10" s="2" t="inlineStr">
        <is>
          <t>KEY PERFORMANCE INDICATORS (Update Weekly)</t>
        </is>
      </c>
      <c r="C10" s="63" t="n"/>
      <c r="D10" s="63" t="n"/>
      <c r="E10" s="63" t="n"/>
      <c r="F10" s="64" t="n"/>
      <c r="G10" s="3" t="n"/>
    </row>
    <row r="11" ht="22" customHeight="1">
      <c r="B11" s="4" t="inlineStr">
        <is>
          <t>KPI</t>
        </is>
      </c>
      <c r="C11" s="4" t="inlineStr">
        <is>
          <t>Week 1</t>
        </is>
      </c>
      <c r="D11" s="4" t="inlineStr">
        <is>
          <t>Week 4</t>
        </is>
      </c>
      <c r="E11" s="4" t="inlineStr">
        <is>
          <t>Week 8</t>
        </is>
      </c>
      <c r="F11" s="4" t="inlineStr">
        <is>
          <t>Week 16</t>
        </is>
      </c>
      <c r="G11" s="4" t="inlineStr">
        <is>
          <t>Week 24 (Harvest)</t>
        </is>
      </c>
    </row>
    <row r="12" ht="20" customHeight="1">
      <c r="B12" s="7" t="inlineStr">
        <is>
          <t>Total Fish Alive</t>
        </is>
      </c>
      <c r="C12" s="8" t="n">
        <v>550</v>
      </c>
      <c r="D12" s="8" t="inlineStr"/>
      <c r="E12" s="8" t="inlineStr"/>
      <c r="F12" s="8" t="inlineStr"/>
      <c r="G12" s="8" t="inlineStr"/>
    </row>
    <row r="13" ht="20" customHeight="1">
      <c r="B13" s="7" t="inlineStr">
        <is>
          <t>Cumulative Mortality</t>
        </is>
      </c>
      <c r="C13" s="9" t="n">
        <v>0</v>
      </c>
      <c r="D13" s="9" t="inlineStr"/>
      <c r="E13" s="9" t="inlineStr"/>
      <c r="F13" s="9" t="inlineStr"/>
      <c r="G13" s="9" t="inlineStr"/>
    </row>
    <row r="14" ht="20" customHeight="1">
      <c r="B14" s="7" t="inlineStr">
        <is>
          <t>Survival Rate (%)</t>
        </is>
      </c>
      <c r="C14" s="8">
        <f>100%</f>
        <v/>
      </c>
      <c r="D14" s="8" t="inlineStr"/>
      <c r="E14" s="8" t="inlineStr"/>
      <c r="F14" s="8" t="inlineStr"/>
      <c r="G14" s="8" t="inlineStr"/>
    </row>
    <row r="15" ht="20" customHeight="1">
      <c r="B15" s="7" t="inlineStr">
        <is>
          <t>Avg Weight (g)</t>
        </is>
      </c>
      <c r="C15" s="9" t="inlineStr">
        <is>
          <t>~10–15g (Juveniles)</t>
        </is>
      </c>
      <c r="D15" s="9" t="inlineStr"/>
      <c r="E15" s="9" t="inlineStr"/>
      <c r="F15" s="9" t="inlineStr"/>
      <c r="G15" s="9" t="inlineStr"/>
    </row>
    <row r="16" ht="20" customHeight="1">
      <c r="B16" s="7" t="inlineStr">
        <is>
          <t>Total Biomass (kg)</t>
        </is>
      </c>
      <c r="C16" s="8" t="inlineStr"/>
      <c r="D16" s="8" t="inlineStr"/>
      <c r="E16" s="8" t="inlineStr"/>
      <c r="F16" s="8" t="inlineStr"/>
      <c r="G16" s="8" t="inlineStr"/>
    </row>
    <row r="17" ht="20" customHeight="1">
      <c r="B17" s="7" t="inlineStr">
        <is>
          <t>Feed Used This Period (kg)</t>
        </is>
      </c>
      <c r="C17" s="9" t="inlineStr"/>
      <c r="D17" s="9" t="inlineStr"/>
      <c r="E17" s="9" t="inlineStr"/>
      <c r="F17" s="9" t="inlineStr"/>
      <c r="G17" s="9" t="inlineStr"/>
    </row>
    <row r="18" ht="20" customHeight="1">
      <c r="B18" s="7" t="inlineStr">
        <is>
          <t>Water pH</t>
        </is>
      </c>
      <c r="C18" s="8" t="inlineStr"/>
      <c r="D18" s="8" t="inlineStr"/>
      <c r="E18" s="8" t="inlineStr"/>
      <c r="F18" s="8" t="inlineStr"/>
      <c r="G18" s="8" t="inlineStr"/>
    </row>
    <row r="19" ht="20" customHeight="1">
      <c r="B19" s="7" t="inlineStr">
        <is>
          <t>Ammonia Level</t>
        </is>
      </c>
      <c r="C19" s="9" t="inlineStr"/>
      <c r="D19" s="9" t="inlineStr"/>
      <c r="E19" s="9" t="inlineStr"/>
      <c r="F19" s="9" t="inlineStr"/>
      <c r="G19" s="9" t="inlineStr"/>
    </row>
    <row r="21" ht="24" customHeight="1">
      <c r="B21" s="10" t="inlineStr">
        <is>
          <t>NOTES / OBSERVATIONS</t>
        </is>
      </c>
      <c r="C21" s="63" t="n"/>
      <c r="D21" s="63" t="n"/>
      <c r="E21" s="63" t="n"/>
      <c r="F21" s="64" t="n"/>
    </row>
    <row r="22" ht="18" customHeight="1">
      <c r="B22" s="11" t="inlineStr"/>
      <c r="C22" s="63" t="n"/>
      <c r="D22" s="63" t="n"/>
      <c r="E22" s="63" t="n"/>
      <c r="F22" s="64" t="n"/>
    </row>
    <row r="23" ht="18" customHeight="1">
      <c r="B23" s="11" t="inlineStr"/>
      <c r="C23" s="63" t="n"/>
      <c r="D23" s="63" t="n"/>
      <c r="E23" s="63" t="n"/>
      <c r="F23" s="64" t="n"/>
    </row>
    <row r="24" ht="18" customHeight="1">
      <c r="B24" s="11" t="inlineStr"/>
      <c r="C24" s="63" t="n"/>
      <c r="D24" s="63" t="n"/>
      <c r="E24" s="63" t="n"/>
      <c r="F24" s="64" t="n"/>
    </row>
    <row r="25" ht="18" customHeight="1">
      <c r="B25" s="11" t="inlineStr"/>
      <c r="C25" s="63" t="n"/>
      <c r="D25" s="63" t="n"/>
      <c r="E25" s="63" t="n"/>
      <c r="F25" s="64" t="n"/>
    </row>
    <row r="26" ht="18" customHeight="1">
      <c r="B26" s="11" t="inlineStr"/>
      <c r="C26" s="63" t="n"/>
      <c r="D26" s="63" t="n"/>
      <c r="E26" s="63" t="n"/>
      <c r="F26" s="64" t="n"/>
    </row>
    <row r="27" ht="18" customHeight="1">
      <c r="B27" s="11" t="inlineStr"/>
      <c r="C27" s="63" t="n"/>
      <c r="D27" s="63" t="n"/>
      <c r="E27" s="63" t="n"/>
      <c r="F27" s="64" t="n"/>
    </row>
    <row r="28" ht="18" customHeight="1">
      <c r="B28" s="11" t="inlineStr"/>
      <c r="C28" s="63" t="n"/>
      <c r="D28" s="63" t="n"/>
      <c r="E28" s="63" t="n"/>
      <c r="F28" s="64" t="n"/>
    </row>
    <row r="29" ht="18" customHeight="1">
      <c r="B29" s="11" t="inlineStr"/>
      <c r="C29" s="63" t="n"/>
      <c r="D29" s="63" t="n"/>
      <c r="E29" s="63" t="n"/>
      <c r="F29" s="64" t="n"/>
    </row>
  </sheetData>
  <mergeCells count="16">
    <mergeCell ref="B4:F4"/>
    <mergeCell ref="B21:F21"/>
    <mergeCell ref="B29:F29"/>
    <mergeCell ref="E6:F6"/>
    <mergeCell ref="B24:F24"/>
    <mergeCell ref="B2:F2"/>
    <mergeCell ref="E7:F7"/>
    <mergeCell ref="B10:F10"/>
    <mergeCell ref="B25:F25"/>
    <mergeCell ref="B28:F28"/>
    <mergeCell ref="E5:F5"/>
    <mergeCell ref="B23:F23"/>
    <mergeCell ref="B22:F22"/>
    <mergeCell ref="B26:F26"/>
    <mergeCell ref="E8:F8"/>
    <mergeCell ref="B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</cols>
  <sheetData>
    <row r="1" ht="36" customHeight="1">
      <c r="A1" s="12" t="inlineStr">
        <is>
          <t>📅  DAILY FARM LOG — CATFISH PRODUCTION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3" t="n"/>
      <c r="K1" s="64" t="n"/>
    </row>
    <row r="2" ht="36" customHeight="1">
      <c r="A2" s="13" t="inlineStr">
        <is>
          <t>#</t>
        </is>
      </c>
      <c r="B2" s="13" t="inlineStr">
        <is>
          <t>Date</t>
        </is>
      </c>
      <c r="C2" s="13" t="inlineStr">
        <is>
          <t>Tank</t>
        </is>
      </c>
      <c r="D2" s="13" t="inlineStr">
        <is>
          <t>Fish Count</t>
        </is>
      </c>
      <c r="E2" s="13" t="inlineStr">
        <is>
          <t>Mortality
(No.)</t>
        </is>
      </c>
      <c r="F2" s="13" t="inlineStr">
        <is>
          <t>Feed
Given (kg)</t>
        </is>
      </c>
      <c r="G2" s="13" t="inlineStr">
        <is>
          <t>Water
pH</t>
        </is>
      </c>
      <c r="H2" s="13" t="inlineStr">
        <is>
          <t>Ammonia
(ppm)</t>
        </is>
      </c>
      <c r="I2" s="13" t="inlineStr">
        <is>
          <t>Temp
(°C)</t>
        </is>
      </c>
      <c r="J2" s="13" t="inlineStr">
        <is>
          <t>Water
Change (%)</t>
        </is>
      </c>
      <c r="K2" s="13" t="inlineStr">
        <is>
          <t>Observations</t>
        </is>
      </c>
    </row>
    <row r="3" ht="18" customHeight="1">
      <c r="A3" s="14" t="n">
        <v>1</v>
      </c>
      <c r="B3" s="14" t="inlineStr">
        <is>
          <t>Enter Date</t>
        </is>
      </c>
      <c r="C3" s="14" t="inlineStr">
        <is>
          <t>All Tanks</t>
        </is>
      </c>
      <c r="D3" s="14" t="n">
        <v>500</v>
      </c>
      <c r="E3" s="14" t="n"/>
      <c r="F3" s="14" t="n"/>
      <c r="G3" s="14" t="n"/>
      <c r="H3" s="14" t="n"/>
      <c r="I3" s="14" t="n"/>
      <c r="J3" s="14" t="n"/>
      <c r="K3" s="14" t="n"/>
    </row>
    <row r="4" ht="18" customHeight="1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</row>
    <row r="5" ht="18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 ht="18" customHeight="1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 ht="18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8" customHeight="1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 ht="18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8" customHeight="1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 ht="18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 ht="18" customHeight="1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 ht="18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</row>
    <row r="14" ht="18" customHeight="1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 ht="1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  <c r="K15" s="14" t="n"/>
    </row>
    <row r="16" ht="18" customHeight="1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 ht="1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</row>
    <row r="18" ht="18" customHeight="1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 ht="1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</row>
    <row r="20" ht="18" customHeight="1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 ht="1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</row>
    <row r="22" ht="18" customHeight="1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 ht="18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4" t="n"/>
    </row>
    <row r="24" ht="18" customHeight="1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</row>
    <row r="26" ht="18" customHeight="1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 ht="18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 ht="18" customHeight="1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 ht="18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</row>
    <row r="30" ht="18" customHeight="1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 ht="18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</row>
    <row r="32" ht="18" customHeight="1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 ht="18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</row>
    <row r="34" ht="18" customHeight="1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 ht="18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</row>
    <row r="36" ht="18" customHeight="1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 ht="18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</row>
    <row r="38" ht="18" customHeight="1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 ht="18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</row>
    <row r="40" ht="18" customHeight="1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 ht="18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  <c r="K41" s="14" t="n"/>
    </row>
    <row r="42" ht="18" customHeight="1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 ht="18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</row>
    <row r="44" ht="18" customHeight="1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 ht="18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</row>
    <row r="46" ht="18" customHeight="1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</row>
    <row r="48" ht="18" customHeight="1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 ht="18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</row>
    <row r="50" ht="18" customHeight="1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 ht="18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</row>
    <row r="52" ht="18" customHeight="1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 ht="18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</row>
    <row r="54" ht="18" customHeight="1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 ht="18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  <c r="K55" s="14" t="n"/>
    </row>
    <row r="56" ht="18" customHeight="1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 ht="18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  <c r="K57" s="14" t="n"/>
    </row>
    <row r="58" ht="18" customHeight="1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</row>
    <row r="59" ht="18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</row>
    <row r="60" ht="18" customHeight="1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</row>
    <row r="61" ht="18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</row>
    <row r="62" ht="18" customHeight="1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</row>
    <row r="63" ht="18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</row>
    <row r="64" ht="18" customHeight="1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</row>
    <row r="65" ht="18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</row>
    <row r="66" ht="18" customHeight="1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</row>
    <row r="67" ht="18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</row>
    <row r="68" ht="18" customHeight="1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</row>
    <row r="69" ht="18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</row>
    <row r="70" ht="18" customHeight="1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</row>
    <row r="71" ht="18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  <c r="K71" s="14" t="n"/>
    </row>
    <row r="72" ht="18" customHeight="1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</row>
    <row r="73" ht="18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</row>
    <row r="74" ht="18" customHeight="1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</row>
    <row r="75" ht="18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</row>
    <row r="76" ht="18" customHeight="1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</row>
    <row r="77" ht="18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</row>
    <row r="78" ht="18" customHeight="1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</row>
    <row r="79" ht="18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  <c r="K79" s="14" t="n"/>
    </row>
    <row r="80" ht="18" customHeight="1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</row>
    <row r="81" ht="18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  <c r="K81" s="14" t="n"/>
    </row>
    <row r="82" ht="18" customHeight="1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</row>
    <row r="83" ht="18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  <c r="K83" s="14" t="n"/>
    </row>
    <row r="84" ht="18" customHeight="1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</row>
    <row r="85" ht="18" customHeight="1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  <c r="K85" s="14" t="n"/>
    </row>
    <row r="86" ht="18" customHeight="1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</row>
    <row r="87" ht="18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</row>
    <row r="88" ht="18" customHeight="1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</row>
    <row r="89" ht="18" customHeight="1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</row>
    <row r="90" ht="18" customHeight="1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</row>
    <row r="91" ht="18" customHeight="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  <c r="K91" s="14" t="n"/>
    </row>
    <row r="92" ht="18" customHeight="1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</row>
    <row r="93" ht="18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</row>
    <row r="94" ht="18" customHeight="1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</row>
    <row r="95" ht="18" customHeight="1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  <c r="K95" s="14" t="n"/>
    </row>
    <row r="96" ht="18" customHeight="1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</row>
    <row r="97" ht="18" customHeight="1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  <c r="K97" s="14" t="n"/>
    </row>
    <row r="98" ht="18" customHeight="1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</row>
    <row r="99" ht="18" customHeight="1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  <c r="K99" s="14" t="n"/>
    </row>
    <row r="100" ht="18" customHeight="1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</row>
    <row r="101" ht="18" customHeight="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  <c r="K101" s="14" t="n"/>
    </row>
    <row r="102" ht="18" customHeight="1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</row>
    <row r="103" ht="18" customHeight="1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  <c r="K103" s="14" t="n"/>
    </row>
    <row r="104" ht="18" customHeight="1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</row>
    <row r="105" ht="18" customHeight="1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  <c r="K105" s="14" t="n"/>
    </row>
    <row r="106" ht="18" customHeight="1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</row>
    <row r="107" ht="18" customHeight="1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  <c r="K107" s="14" t="n"/>
    </row>
    <row r="108" ht="18" customHeight="1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</row>
    <row r="109" ht="18" customHeight="1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  <c r="K109" s="14" t="n"/>
    </row>
    <row r="110" ht="18" customHeight="1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</row>
    <row r="111" ht="18" customHeight="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  <c r="K111" s="14" t="n"/>
    </row>
    <row r="112" ht="18" customHeight="1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</row>
    <row r="113" ht="18" customHeight="1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</row>
    <row r="114" ht="18" customHeight="1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</row>
    <row r="115" ht="18" customHeight="1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  <c r="K115" s="14" t="n"/>
    </row>
    <row r="116" ht="18" customHeight="1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</row>
    <row r="117" ht="18" customHeight="1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  <c r="K117" s="14" t="n"/>
    </row>
    <row r="118" ht="18" customHeight="1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</row>
    <row r="119" ht="18" customHeight="1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  <c r="K119" s="14" t="n"/>
    </row>
    <row r="120" ht="18" customHeight="1">
      <c r="A120" s="15" t="n"/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</row>
    <row r="121" ht="18" customHeight="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  <c r="K121" s="14" t="n"/>
    </row>
    <row r="122" ht="18" customHeight="1">
      <c r="A122" s="15" t="n"/>
      <c r="B122" s="15" t="n"/>
      <c r="C122" s="15" t="n"/>
      <c r="D122" s="15" t="n"/>
      <c r="E122" s="15" t="n"/>
      <c r="F122" s="15" t="n"/>
      <c r="G122" s="15" t="n"/>
      <c r="H122" s="15" t="n"/>
      <c r="I122" s="15" t="n"/>
      <c r="J122" s="15" t="n"/>
      <c r="K122" s="15" t="n"/>
    </row>
    <row r="123" ht="18" customHeight="1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  <c r="K123" s="14" t="n"/>
    </row>
    <row r="124" ht="18" customHeight="1">
      <c r="A124" s="15" t="n"/>
      <c r="B124" s="15" t="n"/>
      <c r="C124" s="15" t="n"/>
      <c r="D124" s="15" t="n"/>
      <c r="E124" s="15" t="n"/>
      <c r="F124" s="15" t="n"/>
      <c r="G124" s="15" t="n"/>
      <c r="H124" s="15" t="n"/>
      <c r="I124" s="15" t="n"/>
      <c r="J124" s="15" t="n"/>
      <c r="K124" s="15" t="n"/>
    </row>
    <row r="125" ht="18" customHeight="1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  <c r="K125" s="14" t="n"/>
    </row>
    <row r="126" ht="18" customHeight="1">
      <c r="A126" s="15" t="n"/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</row>
    <row r="127" ht="18" customHeight="1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  <c r="K127" s="14" t="n"/>
    </row>
    <row r="128" ht="18" customHeight="1">
      <c r="A128" s="15" t="n"/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</row>
    <row r="129" ht="18" customHeight="1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  <c r="K129" s="14" t="n"/>
    </row>
    <row r="130" ht="18" customHeight="1">
      <c r="A130" s="15" t="n"/>
      <c r="B130" s="15" t="n"/>
      <c r="C130" s="15" t="n"/>
      <c r="D130" s="15" t="n"/>
      <c r="E130" s="15" t="n"/>
      <c r="F130" s="15" t="n"/>
      <c r="G130" s="15" t="n"/>
      <c r="H130" s="15" t="n"/>
      <c r="I130" s="15" t="n"/>
      <c r="J130" s="15" t="n"/>
      <c r="K130" s="15" t="n"/>
    </row>
    <row r="131" ht="18" customHeight="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  <c r="K131" s="14" t="n"/>
    </row>
    <row r="132" ht="18" customHeight="1">
      <c r="A132" s="15" t="n"/>
      <c r="B132" s="15" t="n"/>
      <c r="C132" s="15" t="n"/>
      <c r="D132" s="15" t="n"/>
      <c r="E132" s="15" t="n"/>
      <c r="F132" s="15" t="n"/>
      <c r="G132" s="15" t="n"/>
      <c r="H132" s="15" t="n"/>
      <c r="I132" s="15" t="n"/>
      <c r="J132" s="15" t="n"/>
      <c r="K132" s="15" t="n"/>
    </row>
    <row r="133" ht="18" customHeight="1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</row>
    <row r="134" ht="18" customHeight="1">
      <c r="A134" s="15" t="n"/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</row>
    <row r="135" ht="18" customHeight="1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  <c r="K135" s="14" t="n"/>
    </row>
    <row r="136" ht="18" customHeight="1">
      <c r="A136" s="15" t="n"/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</row>
    <row r="137" ht="18" customHeight="1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</row>
    <row r="138" ht="18" customHeight="1">
      <c r="A138" s="15" t="n"/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</row>
    <row r="139" ht="18" customHeight="1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  <c r="K139" s="14" t="n"/>
    </row>
    <row r="140" ht="18" customHeight="1">
      <c r="A140" s="15" t="n"/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</row>
    <row r="141" ht="18" customHeight="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  <c r="K141" s="14" t="n"/>
    </row>
    <row r="142" ht="18" customHeight="1">
      <c r="A142" s="15" t="n"/>
      <c r="B142" s="15" t="n"/>
      <c r="C142" s="15" t="n"/>
      <c r="D142" s="15" t="n"/>
      <c r="E142" s="15" t="n"/>
      <c r="F142" s="15" t="n"/>
      <c r="G142" s="15" t="n"/>
      <c r="H142" s="15" t="n"/>
      <c r="I142" s="15" t="n"/>
      <c r="J142" s="15" t="n"/>
      <c r="K142" s="15" t="n"/>
    </row>
    <row r="143" ht="18" customHeight="1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  <c r="K143" s="14" t="n"/>
    </row>
    <row r="144" ht="18" customHeight="1">
      <c r="A144" s="15" t="n"/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</row>
    <row r="145" ht="18" customHeight="1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  <c r="K145" s="14" t="n"/>
    </row>
    <row r="146" ht="18" customHeight="1">
      <c r="A146" s="15" t="n"/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</row>
    <row r="147" ht="18" customHeight="1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  <c r="K147" s="14" t="n"/>
    </row>
    <row r="148" ht="18" customHeight="1">
      <c r="A148" s="15" t="n"/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</row>
    <row r="149" ht="18" customHeight="1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  <c r="K149" s="14" t="n"/>
    </row>
    <row r="150" ht="18" customHeight="1">
      <c r="A150" s="15" t="n"/>
      <c r="B150" s="15" t="n"/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 ht="18" customHeight="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  <c r="K151" s="14" t="n"/>
    </row>
    <row r="152" ht="18" customHeight="1">
      <c r="A152" s="15" t="n"/>
      <c r="B152" s="15" t="n"/>
      <c r="C152" s="15" t="n"/>
      <c r="D152" s="15" t="n"/>
      <c r="E152" s="15" t="n"/>
      <c r="F152" s="15" t="n"/>
      <c r="G152" s="15" t="n"/>
      <c r="H152" s="15" t="n"/>
      <c r="I152" s="15" t="n"/>
      <c r="J152" s="15" t="n"/>
      <c r="K152" s="15" t="n"/>
    </row>
    <row r="153" ht="18" customHeight="1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  <c r="K153" s="14" t="n"/>
    </row>
    <row r="154" ht="18" customHeight="1">
      <c r="A154" s="15" t="n"/>
      <c r="B154" s="15" t="n"/>
      <c r="C154" s="15" t="n"/>
      <c r="D154" s="15" t="n"/>
      <c r="E154" s="15" t="n"/>
      <c r="F154" s="15" t="n"/>
      <c r="G154" s="15" t="n"/>
      <c r="H154" s="15" t="n"/>
      <c r="I154" s="15" t="n"/>
      <c r="J154" s="15" t="n"/>
      <c r="K154" s="15" t="n"/>
    </row>
    <row r="155" ht="18" customHeight="1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  <c r="K155" s="14" t="n"/>
    </row>
    <row r="156" ht="18" customHeight="1">
      <c r="A156" s="15" t="n"/>
      <c r="B156" s="15" t="n"/>
      <c r="C156" s="15" t="n"/>
      <c r="D156" s="15" t="n"/>
      <c r="E156" s="15" t="n"/>
      <c r="F156" s="15" t="n"/>
      <c r="G156" s="15" t="n"/>
      <c r="H156" s="15" t="n"/>
      <c r="I156" s="15" t="n"/>
      <c r="J156" s="15" t="n"/>
      <c r="K156" s="15" t="n"/>
    </row>
    <row r="157" ht="18" customHeight="1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  <c r="K157" s="14" t="n"/>
    </row>
    <row r="158" ht="18" customHeight="1">
      <c r="A158" s="15" t="n"/>
      <c r="B158" s="15" t="n"/>
      <c r="C158" s="15" t="n"/>
      <c r="D158" s="15" t="n"/>
      <c r="E158" s="15" t="n"/>
      <c r="F158" s="15" t="n"/>
      <c r="G158" s="15" t="n"/>
      <c r="H158" s="15" t="n"/>
      <c r="I158" s="15" t="n"/>
      <c r="J158" s="15" t="n"/>
      <c r="K158" s="15" t="n"/>
    </row>
    <row r="159" ht="18" customHeight="1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  <c r="K159" s="14" t="n"/>
    </row>
    <row r="160" ht="18" customHeight="1">
      <c r="A160" s="15" t="n"/>
      <c r="B160" s="15" t="n"/>
      <c r="C160" s="15" t="n"/>
      <c r="D160" s="15" t="n"/>
      <c r="E160" s="15" t="n"/>
      <c r="F160" s="15" t="n"/>
      <c r="G160" s="15" t="n"/>
      <c r="H160" s="15" t="n"/>
      <c r="I160" s="15" t="n"/>
      <c r="J160" s="15" t="n"/>
      <c r="K160" s="15" t="n"/>
    </row>
    <row r="161" ht="18" customHeight="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  <c r="K161" s="14" t="n"/>
    </row>
    <row r="162" ht="18" customHeight="1">
      <c r="A162" s="15" t="n"/>
      <c r="B162" s="15" t="n"/>
      <c r="C162" s="15" t="n"/>
      <c r="D162" s="15" t="n"/>
      <c r="E162" s="15" t="n"/>
      <c r="F162" s="15" t="n"/>
      <c r="G162" s="15" t="n"/>
      <c r="H162" s="15" t="n"/>
      <c r="I162" s="15" t="n"/>
      <c r="J162" s="15" t="n"/>
      <c r="K162" s="15" t="n"/>
    </row>
    <row r="163" ht="18" customHeight="1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  <c r="K163" s="14" t="n"/>
    </row>
    <row r="164" ht="18" customHeight="1">
      <c r="A164" s="15" t="n"/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</row>
    <row r="165" ht="18" customHeight="1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  <c r="K165" s="14" t="n"/>
    </row>
    <row r="166" ht="18" customHeight="1">
      <c r="A166" s="15" t="n"/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</row>
    <row r="167" ht="18" customHeight="1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  <c r="K167" s="14" t="n"/>
    </row>
    <row r="168" ht="18" customHeight="1">
      <c r="A168" s="15" t="n"/>
      <c r="B168" s="15" t="n"/>
      <c r="C168" s="15" t="n"/>
      <c r="D168" s="15" t="n"/>
      <c r="E168" s="15" t="n"/>
      <c r="F168" s="15" t="n"/>
      <c r="G168" s="15" t="n"/>
      <c r="H168" s="15" t="n"/>
      <c r="I168" s="15" t="n"/>
      <c r="J168" s="15" t="n"/>
      <c r="K168" s="15" t="n"/>
    </row>
    <row r="169" ht="18" customHeight="1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  <c r="K169" s="14" t="n"/>
    </row>
    <row r="170" ht="18" customHeight="1">
      <c r="A170" s="15" t="n"/>
      <c r="B170" s="15" t="n"/>
      <c r="C170" s="15" t="n"/>
      <c r="D170" s="15" t="n"/>
      <c r="E170" s="15" t="n"/>
      <c r="F170" s="15" t="n"/>
      <c r="G170" s="15" t="n"/>
      <c r="H170" s="15" t="n"/>
      <c r="I170" s="15" t="n"/>
      <c r="J170" s="15" t="n"/>
      <c r="K170" s="15" t="n"/>
    </row>
    <row r="171" ht="18" customHeight="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  <c r="K171" s="14" t="n"/>
    </row>
    <row r="172" ht="18" customHeight="1">
      <c r="A172" s="15" t="n"/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</row>
    <row r="173" ht="18" customHeight="1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  <c r="K173" s="14" t="n"/>
    </row>
    <row r="174" ht="18" customHeight="1">
      <c r="A174" s="15" t="n"/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</row>
    <row r="175" ht="18" customHeight="1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  <c r="K175" s="14" t="n"/>
    </row>
    <row r="176" ht="18" customHeight="1">
      <c r="A176" s="15" t="n"/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</row>
    <row r="177" ht="18" customHeight="1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  <c r="K177" s="14" t="n"/>
    </row>
    <row r="178" ht="18" customHeight="1">
      <c r="A178" s="15" t="n"/>
      <c r="B178" s="15" t="n"/>
      <c r="C178" s="15" t="n"/>
      <c r="D178" s="15" t="n"/>
      <c r="E178" s="15" t="n"/>
      <c r="F178" s="15" t="n"/>
      <c r="G178" s="15" t="n"/>
      <c r="H178" s="15" t="n"/>
      <c r="I178" s="15" t="n"/>
      <c r="J178" s="15" t="n"/>
      <c r="K178" s="15" t="n"/>
    </row>
    <row r="179" ht="18" customHeight="1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  <c r="K179" s="14" t="n"/>
    </row>
    <row r="180" ht="18" customHeight="1">
      <c r="A180" s="15" t="n"/>
      <c r="B180" s="15" t="n"/>
      <c r="C180" s="15" t="n"/>
      <c r="D180" s="15" t="n"/>
      <c r="E180" s="15" t="n"/>
      <c r="F180" s="15" t="n"/>
      <c r="G180" s="15" t="n"/>
      <c r="H180" s="15" t="n"/>
      <c r="I180" s="15" t="n"/>
      <c r="J180" s="15" t="n"/>
      <c r="K180" s="15" t="n"/>
    </row>
    <row r="181" ht="18" customHeight="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  <c r="K181" s="14" t="n"/>
    </row>
    <row r="182" ht="18" customHeight="1">
      <c r="A182" s="15" t="n"/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</row>
    <row r="183" ht="18" customHeight="1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  <c r="K183" s="14" t="n"/>
    </row>
    <row r="184" ht="18" customHeight="1">
      <c r="A184" s="15" t="n"/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  <col width="16" customWidth="1" min="9" max="9"/>
  </cols>
  <sheetData>
    <row r="1" ht="36" customHeight="1">
      <c r="A1" s="16" t="inlineStr">
        <is>
          <t>🌾  FEED MANAGEMENT TRACKER</t>
        </is>
      </c>
    </row>
    <row r="3" ht="24" customHeight="1">
      <c r="A3" s="2" t="inlineStr">
        <is>
          <t>FEED PURCHASE LOG</t>
        </is>
      </c>
      <c r="B3" s="63" t="n"/>
      <c r="C3" s="63" t="n"/>
      <c r="D3" s="63" t="n"/>
      <c r="E3" s="63" t="n"/>
      <c r="F3" s="63" t="n"/>
      <c r="G3" s="63" t="n"/>
      <c r="H3" s="63" t="n"/>
      <c r="I3" s="64" t="n"/>
    </row>
    <row r="4" ht="36" customHeight="1">
      <c r="A4" s="4" t="inlineStr">
        <is>
          <t>#</t>
        </is>
      </c>
      <c r="B4" s="4" t="inlineStr">
        <is>
          <t>Date Purchased</t>
        </is>
      </c>
      <c r="C4" s="4" t="inlineStr">
        <is>
          <t>Brand/Type</t>
        </is>
      </c>
      <c r="D4" s="4" t="inlineStr">
        <is>
          <t>Bag Size
(kg)</t>
        </is>
      </c>
      <c r="E4" s="4" t="inlineStr">
        <is>
          <t>No. of Bags</t>
        </is>
      </c>
      <c r="F4" s="4" t="inlineStr">
        <is>
          <t>Total (kg)</t>
        </is>
      </c>
      <c r="G4" s="4" t="inlineStr">
        <is>
          <t>Unit Price
(₦)</t>
        </is>
      </c>
      <c r="H4" s="4" t="inlineStr">
        <is>
          <t>Total Cost
(₦)</t>
        </is>
      </c>
      <c r="I4" s="4" t="inlineStr">
        <is>
          <t>Supplier</t>
        </is>
      </c>
    </row>
    <row r="5" ht="20" customHeight="1">
      <c r="A5" s="14" t="n"/>
      <c r="B5" s="14" t="n"/>
      <c r="C5" s="14" t="n"/>
      <c r="D5" s="14" t="n"/>
      <c r="E5" s="14" t="n"/>
      <c r="F5" s="14">
        <f>IF(D5&lt;&gt;"",D5*E5,"")</f>
        <v/>
      </c>
      <c r="G5" s="14" t="n"/>
      <c r="H5" s="14">
        <f>IF(F5&lt;&gt;"",F5*G5,"")</f>
        <v/>
      </c>
      <c r="I5" s="14" t="n"/>
    </row>
    <row r="6" ht="20" customHeight="1">
      <c r="A6" s="15" t="n"/>
      <c r="B6" s="15" t="n"/>
      <c r="C6" s="15" t="n"/>
      <c r="D6" s="15" t="n"/>
      <c r="E6" s="15" t="n"/>
      <c r="F6" s="15">
        <f>IF(D6&lt;&gt;"",D6*E6,"")</f>
        <v/>
      </c>
      <c r="G6" s="15" t="n"/>
      <c r="H6" s="15">
        <f>IF(F6&lt;&gt;"",F6*G6,"")</f>
        <v/>
      </c>
      <c r="I6" s="15" t="n"/>
    </row>
    <row r="7" ht="20" customHeight="1">
      <c r="A7" s="14" t="n"/>
      <c r="B7" s="14" t="n"/>
      <c r="C7" s="14" t="n"/>
      <c r="D7" s="14" t="n"/>
      <c r="E7" s="14" t="n"/>
      <c r="F7" s="14">
        <f>IF(D7&lt;&gt;"",D7*E7,"")</f>
        <v/>
      </c>
      <c r="G7" s="14" t="n"/>
      <c r="H7" s="14">
        <f>IF(F7&lt;&gt;"",F7*G7,"")</f>
        <v/>
      </c>
      <c r="I7" s="14" t="n"/>
    </row>
    <row r="8" ht="20" customHeight="1">
      <c r="A8" s="15" t="n"/>
      <c r="B8" s="15" t="n"/>
      <c r="C8" s="15" t="n"/>
      <c r="D8" s="15" t="n"/>
      <c r="E8" s="15" t="n"/>
      <c r="F8" s="15">
        <f>IF(D8&lt;&gt;"",D8*E8,"")</f>
        <v/>
      </c>
      <c r="G8" s="15" t="n"/>
      <c r="H8" s="15">
        <f>IF(F8&lt;&gt;"",F8*G8,"")</f>
        <v/>
      </c>
      <c r="I8" s="15" t="n"/>
    </row>
    <row r="9" ht="20" customHeight="1">
      <c r="A9" s="14" t="n"/>
      <c r="B9" s="14" t="n"/>
      <c r="C9" s="14" t="n"/>
      <c r="D9" s="14" t="n"/>
      <c r="E9" s="14" t="n"/>
      <c r="F9" s="14">
        <f>IF(D9&lt;&gt;"",D9*E9,"")</f>
        <v/>
      </c>
      <c r="G9" s="14" t="n"/>
      <c r="H9" s="14">
        <f>IF(F9&lt;&gt;"",F9*G9,"")</f>
        <v/>
      </c>
      <c r="I9" s="14" t="n"/>
    </row>
    <row r="10" ht="20" customHeight="1">
      <c r="A10" s="15" t="n"/>
      <c r="B10" s="15" t="n"/>
      <c r="C10" s="15" t="n"/>
      <c r="D10" s="15" t="n"/>
      <c r="E10" s="15" t="n"/>
      <c r="F10" s="15">
        <f>IF(D10&lt;&gt;"",D10*E10,"")</f>
        <v/>
      </c>
      <c r="G10" s="15" t="n"/>
      <c r="H10" s="15">
        <f>IF(F10&lt;&gt;"",F10*G10,"")</f>
        <v/>
      </c>
      <c r="I10" s="15" t="n"/>
    </row>
    <row r="11" ht="20" customHeight="1">
      <c r="A11" s="14" t="n"/>
      <c r="B11" s="14" t="n"/>
      <c r="C11" s="14" t="n"/>
      <c r="D11" s="14" t="n"/>
      <c r="E11" s="14" t="n"/>
      <c r="F11" s="14">
        <f>IF(D11&lt;&gt;"",D11*E11,"")</f>
        <v/>
      </c>
      <c r="G11" s="14" t="n"/>
      <c r="H11" s="14">
        <f>IF(F11&lt;&gt;"",F11*G11,"")</f>
        <v/>
      </c>
      <c r="I11" s="14" t="n"/>
    </row>
    <row r="12" ht="20" customHeight="1">
      <c r="A12" s="15" t="n"/>
      <c r="B12" s="15" t="n"/>
      <c r="C12" s="15" t="n"/>
      <c r="D12" s="15" t="n"/>
      <c r="E12" s="15" t="n"/>
      <c r="F12" s="15">
        <f>IF(D12&lt;&gt;"",D12*E12,"")</f>
        <v/>
      </c>
      <c r="G12" s="15" t="n"/>
      <c r="H12" s="15">
        <f>IF(F12&lt;&gt;"",F12*G12,"")</f>
        <v/>
      </c>
      <c r="I12" s="15" t="n"/>
    </row>
    <row r="13" ht="20" customHeight="1">
      <c r="A13" s="14" t="n"/>
      <c r="B13" s="14" t="n"/>
      <c r="C13" s="14" t="n"/>
      <c r="D13" s="14" t="n"/>
      <c r="E13" s="14" t="n"/>
      <c r="F13" s="14">
        <f>IF(D13&lt;&gt;"",D13*E13,"")</f>
        <v/>
      </c>
      <c r="G13" s="14" t="n"/>
      <c r="H13" s="14">
        <f>IF(F13&lt;&gt;"",F13*G13,"")</f>
        <v/>
      </c>
      <c r="I13" s="14" t="n"/>
    </row>
    <row r="14" ht="20" customHeight="1">
      <c r="A14" s="15" t="n"/>
      <c r="B14" s="15" t="n"/>
      <c r="C14" s="15" t="n"/>
      <c r="D14" s="15" t="n"/>
      <c r="E14" s="15" t="n"/>
      <c r="F14" s="15">
        <f>IF(D14&lt;&gt;"",D14*E14,"")</f>
        <v/>
      </c>
      <c r="G14" s="15" t="n"/>
      <c r="H14" s="15">
        <f>IF(F14&lt;&gt;"",F14*G14,"")</f>
        <v/>
      </c>
      <c r="I14" s="15" t="n"/>
    </row>
    <row r="15" ht="20" customHeight="1">
      <c r="A15" s="14" t="n"/>
      <c r="B15" s="14" t="n"/>
      <c r="C15" s="14" t="n"/>
      <c r="D15" s="14" t="n"/>
      <c r="E15" s="14" t="n"/>
      <c r="F15" s="14">
        <f>IF(D15&lt;&gt;"",D15*E15,"")</f>
        <v/>
      </c>
      <c r="G15" s="14" t="n"/>
      <c r="H15" s="14">
        <f>IF(F15&lt;&gt;"",F15*G15,"")</f>
        <v/>
      </c>
      <c r="I15" s="14" t="n"/>
    </row>
    <row r="16" ht="20" customHeight="1">
      <c r="A16" s="15" t="n"/>
      <c r="B16" s="15" t="n"/>
      <c r="C16" s="15" t="n"/>
      <c r="D16" s="15" t="n"/>
      <c r="E16" s="15" t="n"/>
      <c r="F16" s="15">
        <f>IF(D16&lt;&gt;"",D16*E16,"")</f>
        <v/>
      </c>
      <c r="G16" s="15" t="n"/>
      <c r="H16" s="15">
        <f>IF(F16&lt;&gt;"",F16*G16,"")</f>
        <v/>
      </c>
      <c r="I16" s="15" t="n"/>
    </row>
    <row r="17" ht="20" customHeight="1">
      <c r="A17" s="14" t="n"/>
      <c r="B17" s="14" t="n"/>
      <c r="C17" s="14" t="n"/>
      <c r="D17" s="14" t="n"/>
      <c r="E17" s="14" t="n"/>
      <c r="F17" s="14">
        <f>IF(D17&lt;&gt;"",D17*E17,"")</f>
        <v/>
      </c>
      <c r="G17" s="14" t="n"/>
      <c r="H17" s="14">
        <f>IF(F17&lt;&gt;"",F17*G17,"")</f>
        <v/>
      </c>
      <c r="I17" s="14" t="n"/>
    </row>
    <row r="18" ht="20" customHeight="1">
      <c r="A18" s="15" t="n"/>
      <c r="B18" s="15" t="n"/>
      <c r="C18" s="15" t="n"/>
      <c r="D18" s="15" t="n"/>
      <c r="E18" s="15" t="n"/>
      <c r="F18" s="15">
        <f>IF(D18&lt;&gt;"",D18*E18,"")</f>
        <v/>
      </c>
      <c r="G18" s="15" t="n"/>
      <c r="H18" s="15">
        <f>IF(F18&lt;&gt;"",F18*G18,"")</f>
        <v/>
      </c>
      <c r="I18" s="15" t="n"/>
    </row>
    <row r="19" ht="20" customHeight="1">
      <c r="A19" s="14" t="n"/>
      <c r="B19" s="14" t="n"/>
      <c r="C19" s="14" t="n"/>
      <c r="D19" s="14" t="n"/>
      <c r="E19" s="14" t="n"/>
      <c r="F19" s="14">
        <f>IF(D19&lt;&gt;"",D19*E19,"")</f>
        <v/>
      </c>
      <c r="G19" s="14" t="n"/>
      <c r="H19" s="14">
        <f>IF(F19&lt;&gt;"",F19*G19,"")</f>
        <v/>
      </c>
      <c r="I19" s="14" t="n"/>
    </row>
    <row r="20" ht="20" customHeight="1">
      <c r="A20" s="15" t="n"/>
      <c r="B20" s="15" t="n"/>
      <c r="C20" s="15" t="n"/>
      <c r="D20" s="15" t="n"/>
      <c r="E20" s="15" t="n"/>
      <c r="F20" s="15">
        <f>IF(D20&lt;&gt;"",D20*E20,"")</f>
        <v/>
      </c>
      <c r="G20" s="15" t="n"/>
      <c r="H20" s="15">
        <f>IF(F20&lt;&gt;"",F20*G20,"")</f>
        <v/>
      </c>
      <c r="I20" s="15" t="n"/>
    </row>
    <row r="21" ht="20" customHeight="1">
      <c r="A21" s="14" t="n"/>
      <c r="B21" s="14" t="n"/>
      <c r="C21" s="14" t="n"/>
      <c r="D21" s="14" t="n"/>
      <c r="E21" s="14" t="n"/>
      <c r="F21" s="14">
        <f>IF(D21&lt;&gt;"",D21*E21,"")</f>
        <v/>
      </c>
      <c r="G21" s="14" t="n"/>
      <c r="H21" s="14">
        <f>IF(F21&lt;&gt;"",F21*G21,"")</f>
        <v/>
      </c>
      <c r="I21" s="14" t="n"/>
    </row>
    <row r="22" ht="20" customHeight="1">
      <c r="A22" s="15" t="n"/>
      <c r="B22" s="15" t="n"/>
      <c r="C22" s="15" t="n"/>
      <c r="D22" s="15" t="n"/>
      <c r="E22" s="15" t="n"/>
      <c r="F22" s="15">
        <f>IF(D22&lt;&gt;"",D22*E22,"")</f>
        <v/>
      </c>
      <c r="G22" s="15" t="n"/>
      <c r="H22" s="15">
        <f>IF(F22&lt;&gt;"",F22*G22,"")</f>
        <v/>
      </c>
      <c r="I22" s="15" t="n"/>
    </row>
    <row r="23" ht="20" customHeight="1">
      <c r="A23" s="14" t="n"/>
      <c r="B23" s="14" t="n"/>
      <c r="C23" s="14" t="n"/>
      <c r="D23" s="14" t="n"/>
      <c r="E23" s="14" t="n"/>
      <c r="F23" s="14">
        <f>IF(D23&lt;&gt;"",D23*E23,"")</f>
        <v/>
      </c>
      <c r="G23" s="14" t="n"/>
      <c r="H23" s="14">
        <f>IF(F23&lt;&gt;"",F23*G23,"")</f>
        <v/>
      </c>
      <c r="I23" s="14" t="n"/>
    </row>
    <row r="24" ht="20" customHeight="1">
      <c r="A24" s="15" t="n"/>
      <c r="B24" s="15" t="n"/>
      <c r="C24" s="15" t="n"/>
      <c r="D24" s="15" t="n"/>
      <c r="E24" s="15" t="n"/>
      <c r="F24" s="15">
        <f>IF(D24&lt;&gt;"",D24*E24,"")</f>
        <v/>
      </c>
      <c r="G24" s="15" t="n"/>
      <c r="H24" s="15">
        <f>IF(F24&lt;&gt;"",F24*G24,"")</f>
        <v/>
      </c>
      <c r="I24" s="15" t="n"/>
    </row>
    <row r="25" ht="22" customHeight="1">
      <c r="A25" s="10" t="inlineStr">
        <is>
          <t>TOTALS</t>
        </is>
      </c>
      <c r="B25" s="63" t="n"/>
      <c r="C25" s="63" t="n"/>
      <c r="D25" s="63" t="n"/>
      <c r="E25" s="64" t="n"/>
      <c r="F25" s="17">
        <f>SUM(F5:F24)</f>
        <v/>
      </c>
      <c r="G25" s="3" t="n"/>
      <c r="H25" s="17">
        <f>SUM(H5:H24)</f>
        <v/>
      </c>
      <c r="I25" s="3" t="n"/>
    </row>
    <row r="27" ht="24" customHeight="1">
      <c r="A27" s="2" t="inlineStr">
        <is>
          <t>FEED CONVERSION RATIO (FCR) TRACKER</t>
        </is>
      </c>
      <c r="B27" s="63" t="n"/>
      <c r="C27" s="63" t="n"/>
      <c r="D27" s="63" t="n"/>
      <c r="E27" s="63" t="n"/>
      <c r="F27" s="63" t="n"/>
      <c r="G27" s="63" t="n"/>
      <c r="H27" s="63" t="n"/>
      <c r="I27" s="64" t="n"/>
    </row>
    <row r="28" ht="36" customHeight="1">
      <c r="A28" s="4" t="inlineStr">
        <is>
          <t>Week</t>
        </is>
      </c>
      <c r="B28" s="4" t="inlineStr">
        <is>
          <t>Total Feed
Used (kg)</t>
        </is>
      </c>
      <c r="C28" s="4" t="inlineStr">
        <is>
          <t>Biomass
Start (kg)</t>
        </is>
      </c>
      <c r="D28" s="4" t="inlineStr">
        <is>
          <t>Biomass
End (kg)</t>
        </is>
      </c>
      <c r="E28" s="4" t="inlineStr">
        <is>
          <t>Weight
Gain (kg)</t>
        </is>
      </c>
      <c r="F28" s="4" t="inlineStr">
        <is>
          <t>FCR</t>
        </is>
      </c>
      <c r="G28" s="4" t="inlineStr">
        <is>
          <t>Target
FCR</t>
        </is>
      </c>
      <c r="H28" s="4" t="inlineStr">
        <is>
          <t>Status</t>
        </is>
      </c>
      <c r="I28" s="4" t="inlineStr">
        <is>
          <t>Notes</t>
        </is>
      </c>
    </row>
    <row r="29" ht="20" customHeight="1">
      <c r="A29" s="14" t="n">
        <v>1</v>
      </c>
      <c r="B29" s="14" t="n"/>
      <c r="C29" s="14" t="n"/>
      <c r="D29" s="14" t="n"/>
      <c r="E29" s="14">
        <f>IF(D29&lt;&gt;"",D29-C29,"")</f>
        <v/>
      </c>
      <c r="F29" s="14">
        <f>IF(E29&lt;&gt;"",B29/E29,"")</f>
        <v/>
      </c>
      <c r="G29" s="14" t="n">
        <v>1.5</v>
      </c>
      <c r="H29" s="14" t="n"/>
      <c r="I29" s="14" t="n"/>
    </row>
    <row r="30" ht="20" customHeight="1">
      <c r="A30" s="15" t="n">
        <v>2</v>
      </c>
      <c r="B30" s="15" t="n"/>
      <c r="C30" s="15" t="n"/>
      <c r="D30" s="15" t="n"/>
      <c r="E30" s="15">
        <f>IF(D30&lt;&gt;"",D30-C30,"")</f>
        <v/>
      </c>
      <c r="F30" s="15">
        <f>IF(E30&lt;&gt;"",B30/E30,"")</f>
        <v/>
      </c>
      <c r="G30" s="15" t="n">
        <v>1.5</v>
      </c>
      <c r="H30" s="15" t="n"/>
      <c r="I30" s="15" t="n"/>
    </row>
    <row r="31" ht="20" customHeight="1">
      <c r="A31" s="14" t="n">
        <v>3</v>
      </c>
      <c r="B31" s="14" t="n"/>
      <c r="C31" s="14" t="n"/>
      <c r="D31" s="14" t="n"/>
      <c r="E31" s="14">
        <f>IF(D31&lt;&gt;"",D31-C31,"")</f>
        <v/>
      </c>
      <c r="F31" s="14">
        <f>IF(E31&lt;&gt;"",B31/E31,"")</f>
        <v/>
      </c>
      <c r="G31" s="14" t="n">
        <v>1.5</v>
      </c>
      <c r="H31" s="14" t="n"/>
      <c r="I31" s="14" t="n"/>
    </row>
    <row r="32" ht="20" customHeight="1">
      <c r="A32" s="15" t="n">
        <v>4</v>
      </c>
      <c r="B32" s="15" t="n"/>
      <c r="C32" s="15" t="n"/>
      <c r="D32" s="15" t="n"/>
      <c r="E32" s="15">
        <f>IF(D32&lt;&gt;"",D32-C32,"")</f>
        <v/>
      </c>
      <c r="F32" s="15">
        <f>IF(E32&lt;&gt;"",B32/E32,"")</f>
        <v/>
      </c>
      <c r="G32" s="15" t="n">
        <v>1.5</v>
      </c>
      <c r="H32" s="15" t="n"/>
      <c r="I32" s="15" t="n"/>
    </row>
    <row r="33" ht="20" customHeight="1">
      <c r="A33" s="14" t="n">
        <v>5</v>
      </c>
      <c r="B33" s="14" t="n"/>
      <c r="C33" s="14" t="n"/>
      <c r="D33" s="14" t="n"/>
      <c r="E33" s="14">
        <f>IF(D33&lt;&gt;"",D33-C33,"")</f>
        <v/>
      </c>
      <c r="F33" s="14">
        <f>IF(E33&lt;&gt;"",B33/E33,"")</f>
        <v/>
      </c>
      <c r="G33" s="14" t="n">
        <v>1.5</v>
      </c>
      <c r="H33" s="14" t="n"/>
      <c r="I33" s="14" t="n"/>
    </row>
    <row r="34" ht="20" customHeight="1">
      <c r="A34" s="15" t="n">
        <v>6</v>
      </c>
      <c r="B34" s="15" t="n"/>
      <c r="C34" s="15" t="n"/>
      <c r="D34" s="15" t="n"/>
      <c r="E34" s="15">
        <f>IF(D34&lt;&gt;"",D34-C34,"")</f>
        <v/>
      </c>
      <c r="F34" s="15">
        <f>IF(E34&lt;&gt;"",B34/E34,"")</f>
        <v/>
      </c>
      <c r="G34" s="15" t="n">
        <v>1.5</v>
      </c>
      <c r="H34" s="15" t="n"/>
      <c r="I34" s="15" t="n"/>
    </row>
    <row r="35" ht="20" customHeight="1">
      <c r="A35" s="14" t="n">
        <v>7</v>
      </c>
      <c r="B35" s="14" t="n"/>
      <c r="C35" s="14" t="n"/>
      <c r="D35" s="14" t="n"/>
      <c r="E35" s="14">
        <f>IF(D35&lt;&gt;"",D35-C35,"")</f>
        <v/>
      </c>
      <c r="F35" s="14">
        <f>IF(E35&lt;&gt;"",B35/E35,"")</f>
        <v/>
      </c>
      <c r="G35" s="14" t="n">
        <v>1.5</v>
      </c>
      <c r="H35" s="14" t="n"/>
      <c r="I35" s="14" t="n"/>
    </row>
    <row r="36" ht="20" customHeight="1">
      <c r="A36" s="15" t="n">
        <v>8</v>
      </c>
      <c r="B36" s="15" t="n"/>
      <c r="C36" s="15" t="n"/>
      <c r="D36" s="15" t="n"/>
      <c r="E36" s="15">
        <f>IF(D36&lt;&gt;"",D36-C36,"")</f>
        <v/>
      </c>
      <c r="F36" s="15">
        <f>IF(E36&lt;&gt;"",B36/E36,"")</f>
        <v/>
      </c>
      <c r="G36" s="15" t="n">
        <v>1.5</v>
      </c>
      <c r="H36" s="15" t="n"/>
      <c r="I36" s="15" t="n"/>
    </row>
    <row r="37" ht="20" customHeight="1">
      <c r="A37" s="14" t="n">
        <v>9</v>
      </c>
      <c r="B37" s="14" t="n"/>
      <c r="C37" s="14" t="n"/>
      <c r="D37" s="14" t="n"/>
      <c r="E37" s="14">
        <f>IF(D37&lt;&gt;"",D37-C37,"")</f>
        <v/>
      </c>
      <c r="F37" s="14">
        <f>IF(E37&lt;&gt;"",B37/E37,"")</f>
        <v/>
      </c>
      <c r="G37" s="14" t="n">
        <v>1.5</v>
      </c>
      <c r="H37" s="14" t="n"/>
      <c r="I37" s="14" t="n"/>
    </row>
    <row r="38" ht="20" customHeight="1">
      <c r="A38" s="15" t="n">
        <v>10</v>
      </c>
      <c r="B38" s="15" t="n"/>
      <c r="C38" s="15" t="n"/>
      <c r="D38" s="15" t="n"/>
      <c r="E38" s="15">
        <f>IF(D38&lt;&gt;"",D38-C38,"")</f>
        <v/>
      </c>
      <c r="F38" s="15">
        <f>IF(E38&lt;&gt;"",B38/E38,"")</f>
        <v/>
      </c>
      <c r="G38" s="15" t="n">
        <v>1.5</v>
      </c>
      <c r="H38" s="15" t="n"/>
      <c r="I38" s="15" t="n"/>
    </row>
    <row r="39" ht="20" customHeight="1">
      <c r="A39" s="14" t="n">
        <v>11</v>
      </c>
      <c r="B39" s="14" t="n"/>
      <c r="C39" s="14" t="n"/>
      <c r="D39" s="14" t="n"/>
      <c r="E39" s="14">
        <f>IF(D39&lt;&gt;"",D39-C39,"")</f>
        <v/>
      </c>
      <c r="F39" s="14">
        <f>IF(E39&lt;&gt;"",B39/E39,"")</f>
        <v/>
      </c>
      <c r="G39" s="14" t="n">
        <v>1.5</v>
      </c>
      <c r="H39" s="14" t="n"/>
      <c r="I39" s="14" t="n"/>
    </row>
    <row r="40" ht="20" customHeight="1">
      <c r="A40" s="15" t="n">
        <v>12</v>
      </c>
      <c r="B40" s="15" t="n"/>
      <c r="C40" s="15" t="n"/>
      <c r="D40" s="15" t="n"/>
      <c r="E40" s="15">
        <f>IF(D40&lt;&gt;"",D40-C40,"")</f>
        <v/>
      </c>
      <c r="F40" s="15">
        <f>IF(E40&lt;&gt;"",B40/E40,"")</f>
        <v/>
      </c>
      <c r="G40" s="15" t="n">
        <v>1.5</v>
      </c>
      <c r="H40" s="15" t="n"/>
      <c r="I40" s="15" t="n"/>
    </row>
    <row r="41" ht="20" customHeight="1">
      <c r="A41" s="14" t="n">
        <v>13</v>
      </c>
      <c r="B41" s="14" t="n"/>
      <c r="C41" s="14" t="n"/>
      <c r="D41" s="14" t="n"/>
      <c r="E41" s="14">
        <f>IF(D41&lt;&gt;"",D41-C41,"")</f>
        <v/>
      </c>
      <c r="F41" s="14">
        <f>IF(E41&lt;&gt;"",B41/E41,"")</f>
        <v/>
      </c>
      <c r="G41" s="14" t="n">
        <v>1.5</v>
      </c>
      <c r="H41" s="14" t="n"/>
      <c r="I41" s="14" t="n"/>
    </row>
    <row r="42" ht="20" customHeight="1">
      <c r="A42" s="15" t="n">
        <v>14</v>
      </c>
      <c r="B42" s="15" t="n"/>
      <c r="C42" s="15" t="n"/>
      <c r="D42" s="15" t="n"/>
      <c r="E42" s="15">
        <f>IF(D42&lt;&gt;"",D42-C42,"")</f>
        <v/>
      </c>
      <c r="F42" s="15">
        <f>IF(E42&lt;&gt;"",B42/E42,"")</f>
        <v/>
      </c>
      <c r="G42" s="15" t="n">
        <v>1.5</v>
      </c>
      <c r="H42" s="15" t="n"/>
      <c r="I42" s="15" t="n"/>
    </row>
    <row r="43" ht="20" customHeight="1">
      <c r="A43" s="14" t="n">
        <v>15</v>
      </c>
      <c r="B43" s="14" t="n"/>
      <c r="C43" s="14" t="n"/>
      <c r="D43" s="14" t="n"/>
      <c r="E43" s="14">
        <f>IF(D43&lt;&gt;"",D43-C43,"")</f>
        <v/>
      </c>
      <c r="F43" s="14">
        <f>IF(E43&lt;&gt;"",B43/E43,"")</f>
        <v/>
      </c>
      <c r="G43" s="14" t="n">
        <v>1.5</v>
      </c>
      <c r="H43" s="14" t="n"/>
      <c r="I43" s="14" t="n"/>
    </row>
    <row r="44" ht="20" customHeight="1">
      <c r="A44" s="15" t="n">
        <v>16</v>
      </c>
      <c r="B44" s="15" t="n"/>
      <c r="C44" s="15" t="n"/>
      <c r="D44" s="15" t="n"/>
      <c r="E44" s="15">
        <f>IF(D44&lt;&gt;"",D44-C44,"")</f>
        <v/>
      </c>
      <c r="F44" s="15">
        <f>IF(E44&lt;&gt;"",B44/E44,"")</f>
        <v/>
      </c>
      <c r="G44" s="15" t="n">
        <v>1.5</v>
      </c>
      <c r="H44" s="15" t="n"/>
      <c r="I44" s="15" t="n"/>
    </row>
    <row r="45" ht="20" customHeight="1">
      <c r="A45" s="14" t="n">
        <v>17</v>
      </c>
      <c r="B45" s="14" t="n"/>
      <c r="C45" s="14" t="n"/>
      <c r="D45" s="14" t="n"/>
      <c r="E45" s="14">
        <f>IF(D45&lt;&gt;"",D45-C45,"")</f>
        <v/>
      </c>
      <c r="F45" s="14">
        <f>IF(E45&lt;&gt;"",B45/E45,"")</f>
        <v/>
      </c>
      <c r="G45" s="14" t="n">
        <v>1.5</v>
      </c>
      <c r="H45" s="14" t="n"/>
      <c r="I45" s="14" t="n"/>
    </row>
    <row r="46" ht="20" customHeight="1">
      <c r="A46" s="15" t="n">
        <v>18</v>
      </c>
      <c r="B46" s="15" t="n"/>
      <c r="C46" s="15" t="n"/>
      <c r="D46" s="15" t="n"/>
      <c r="E46" s="15">
        <f>IF(D46&lt;&gt;"",D46-C46,"")</f>
        <v/>
      </c>
      <c r="F46" s="15">
        <f>IF(E46&lt;&gt;"",B46/E46,"")</f>
        <v/>
      </c>
      <c r="G46" s="15" t="n">
        <v>1.5</v>
      </c>
      <c r="H46" s="15" t="n"/>
      <c r="I46" s="15" t="n"/>
    </row>
    <row r="47" ht="20" customHeight="1">
      <c r="A47" s="14" t="n">
        <v>19</v>
      </c>
      <c r="B47" s="14" t="n"/>
      <c r="C47" s="14" t="n"/>
      <c r="D47" s="14" t="n"/>
      <c r="E47" s="14">
        <f>IF(D47&lt;&gt;"",D47-C47,"")</f>
        <v/>
      </c>
      <c r="F47" s="14">
        <f>IF(E47&lt;&gt;"",B47/E47,"")</f>
        <v/>
      </c>
      <c r="G47" s="14" t="n">
        <v>1.5</v>
      </c>
      <c r="H47" s="14" t="n"/>
      <c r="I47" s="14" t="n"/>
    </row>
    <row r="48" ht="20" customHeight="1">
      <c r="A48" s="15" t="n">
        <v>20</v>
      </c>
      <c r="B48" s="15" t="n"/>
      <c r="C48" s="15" t="n"/>
      <c r="D48" s="15" t="n"/>
      <c r="E48" s="15">
        <f>IF(D48&lt;&gt;"",D48-C48,"")</f>
        <v/>
      </c>
      <c r="F48" s="15">
        <f>IF(E48&lt;&gt;"",B48/E48,"")</f>
        <v/>
      </c>
      <c r="G48" s="15" t="n">
        <v>1.5</v>
      </c>
      <c r="H48" s="15" t="n"/>
      <c r="I48" s="15" t="n"/>
    </row>
    <row r="49" ht="20" customHeight="1">
      <c r="A49" s="14" t="n">
        <v>21</v>
      </c>
      <c r="B49" s="14" t="n"/>
      <c r="C49" s="14" t="n"/>
      <c r="D49" s="14" t="n"/>
      <c r="E49" s="14">
        <f>IF(D49&lt;&gt;"",D49-C49,"")</f>
        <v/>
      </c>
      <c r="F49" s="14">
        <f>IF(E49&lt;&gt;"",B49/E49,"")</f>
        <v/>
      </c>
      <c r="G49" s="14" t="n">
        <v>1.5</v>
      </c>
      <c r="H49" s="14" t="n"/>
      <c r="I49" s="14" t="n"/>
    </row>
    <row r="50" ht="20" customHeight="1">
      <c r="A50" s="15" t="n">
        <v>22</v>
      </c>
      <c r="B50" s="15" t="n"/>
      <c r="C50" s="15" t="n"/>
      <c r="D50" s="15" t="n"/>
      <c r="E50" s="15">
        <f>IF(D50&lt;&gt;"",D50-C50,"")</f>
        <v/>
      </c>
      <c r="F50" s="15">
        <f>IF(E50&lt;&gt;"",B50/E50,"")</f>
        <v/>
      </c>
      <c r="G50" s="15" t="n">
        <v>1.5</v>
      </c>
      <c r="H50" s="15" t="n"/>
      <c r="I50" s="15" t="n"/>
    </row>
    <row r="51" ht="20" customHeight="1">
      <c r="A51" s="14" t="n">
        <v>23</v>
      </c>
      <c r="B51" s="14" t="n"/>
      <c r="C51" s="14" t="n"/>
      <c r="D51" s="14" t="n"/>
      <c r="E51" s="14">
        <f>IF(D51&lt;&gt;"",D51-C51,"")</f>
        <v/>
      </c>
      <c r="F51" s="14">
        <f>IF(E51&lt;&gt;"",B51/E51,"")</f>
        <v/>
      </c>
      <c r="G51" s="14" t="n">
        <v>1.5</v>
      </c>
      <c r="H51" s="14" t="n"/>
      <c r="I51" s="14" t="n"/>
    </row>
    <row r="52" ht="20" customHeight="1">
      <c r="A52" s="15" t="n">
        <v>24</v>
      </c>
      <c r="B52" s="15" t="n"/>
      <c r="C52" s="15" t="n"/>
      <c r="D52" s="15" t="n"/>
      <c r="E52" s="15">
        <f>IF(D52&lt;&gt;"",D52-C52,"")</f>
        <v/>
      </c>
      <c r="F52" s="15">
        <f>IF(E52&lt;&gt;"",B52/E52,"")</f>
        <v/>
      </c>
      <c r="G52" s="15" t="n">
        <v>1.5</v>
      </c>
      <c r="H52" s="15" t="n"/>
      <c r="I52" s="15" t="n"/>
    </row>
    <row r="53" ht="20" customHeight="1">
      <c r="A53" s="14" t="n">
        <v>25</v>
      </c>
      <c r="B53" s="14" t="n"/>
      <c r="C53" s="14" t="n"/>
      <c r="D53" s="14" t="n"/>
      <c r="E53" s="14">
        <f>IF(D53&lt;&gt;"",D53-C53,"")</f>
        <v/>
      </c>
      <c r="F53" s="14">
        <f>IF(E53&lt;&gt;"",B53/E53,"")</f>
        <v/>
      </c>
      <c r="G53" s="14" t="n">
        <v>1.5</v>
      </c>
      <c r="H53" s="14" t="n"/>
      <c r="I53" s="14" t="n"/>
    </row>
    <row r="54" ht="20" customHeight="1">
      <c r="A54" s="15" t="n">
        <v>26</v>
      </c>
      <c r="B54" s="15" t="n"/>
      <c r="C54" s="15" t="n"/>
      <c r="D54" s="15" t="n"/>
      <c r="E54" s="15">
        <f>IF(D54&lt;&gt;"",D54-C54,"")</f>
        <v/>
      </c>
      <c r="F54" s="15">
        <f>IF(E54&lt;&gt;"",B54/E54,"")</f>
        <v/>
      </c>
      <c r="G54" s="15" t="n">
        <v>1.5</v>
      </c>
      <c r="H54" s="15" t="n"/>
      <c r="I54" s="15" t="n"/>
    </row>
  </sheetData>
  <mergeCells count="4">
    <mergeCell ref="A1:I1"/>
    <mergeCell ref="A27:I27"/>
    <mergeCell ref="A25:E25"/>
    <mergeCell ref="A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4" customWidth="1" min="4" max="4"/>
    <col width="20" customWidth="1" min="5" max="5"/>
    <col width="20" customWidth="1" min="6" max="6"/>
    <col width="20" customWidth="1" min="7" max="7"/>
    <col width="18" customWidth="1" min="8" max="8"/>
  </cols>
  <sheetData>
    <row r="1" ht="36" customHeight="1">
      <c r="A1" s="18" t="inlineStr">
        <is>
          <t>💀  MORTALITY &amp; HEALTH LOG</t>
        </is>
      </c>
      <c r="B1" s="63" t="n"/>
      <c r="C1" s="63" t="n"/>
      <c r="D1" s="63" t="n"/>
      <c r="E1" s="63" t="n"/>
      <c r="F1" s="63" t="n"/>
      <c r="G1" s="63" t="n"/>
      <c r="H1" s="64" t="n"/>
    </row>
    <row r="2" ht="30" customHeight="1">
      <c r="A2" s="19" t="inlineStr">
        <is>
          <t>#</t>
        </is>
      </c>
      <c r="B2" s="19" t="inlineStr">
        <is>
          <t>Date</t>
        </is>
      </c>
      <c r="C2" s="19" t="inlineStr">
        <is>
          <t>Tank</t>
        </is>
      </c>
      <c r="D2" s="19" t="inlineStr">
        <is>
          <t>No. Dead</t>
        </is>
      </c>
      <c r="E2" s="19" t="inlineStr">
        <is>
          <t>Suspected Cause</t>
        </is>
      </c>
      <c r="F2" s="19" t="inlineStr">
        <is>
          <t>Action Taken</t>
        </is>
      </c>
      <c r="G2" s="19" t="inlineStr">
        <is>
          <t>Medication/Treatment</t>
        </is>
      </c>
      <c r="H2" s="19" t="inlineStr">
        <is>
          <t>Cost (₦)</t>
        </is>
      </c>
    </row>
    <row r="3" ht="20" customHeight="1">
      <c r="A3" s="14" t="n"/>
      <c r="B3" s="14" t="n"/>
      <c r="C3" s="14" t="n"/>
      <c r="D3" s="14" t="n"/>
      <c r="E3" s="14" t="n"/>
      <c r="F3" s="14" t="n"/>
      <c r="G3" s="14" t="n"/>
      <c r="H3" s="14" t="n"/>
    </row>
    <row r="4" ht="20" customHeight="1">
      <c r="A4" s="20" t="n"/>
      <c r="B4" s="20" t="n"/>
      <c r="C4" s="20" t="n"/>
      <c r="D4" s="20" t="n"/>
      <c r="E4" s="20" t="n"/>
      <c r="F4" s="20" t="n"/>
      <c r="G4" s="20" t="n"/>
      <c r="H4" s="20" t="n"/>
    </row>
    <row r="5" ht="20" customHeight="1">
      <c r="A5" s="14" t="n"/>
      <c r="B5" s="14" t="n"/>
      <c r="C5" s="14" t="n"/>
      <c r="D5" s="14" t="n"/>
      <c r="E5" s="14" t="n"/>
      <c r="F5" s="14" t="n"/>
      <c r="G5" s="14" t="n"/>
      <c r="H5" s="14" t="n"/>
    </row>
    <row r="6" ht="20" customHeight="1">
      <c r="A6" s="20" t="n"/>
      <c r="B6" s="20" t="n"/>
      <c r="C6" s="20" t="n"/>
      <c r="D6" s="20" t="n"/>
      <c r="E6" s="20" t="n"/>
      <c r="F6" s="20" t="n"/>
      <c r="G6" s="20" t="n"/>
      <c r="H6" s="20" t="n"/>
    </row>
    <row r="7" ht="20" customHeight="1">
      <c r="A7" s="14" t="n"/>
      <c r="B7" s="14" t="n"/>
      <c r="C7" s="14" t="n"/>
      <c r="D7" s="14" t="n"/>
      <c r="E7" s="14" t="n"/>
      <c r="F7" s="14" t="n"/>
      <c r="G7" s="14" t="n"/>
      <c r="H7" s="14" t="n"/>
    </row>
    <row r="8" ht="20" customHeight="1">
      <c r="A8" s="20" t="n"/>
      <c r="B8" s="20" t="n"/>
      <c r="C8" s="20" t="n"/>
      <c r="D8" s="20" t="n"/>
      <c r="E8" s="20" t="n"/>
      <c r="F8" s="20" t="n"/>
      <c r="G8" s="20" t="n"/>
      <c r="H8" s="20" t="n"/>
    </row>
    <row r="9" ht="20" customHeight="1">
      <c r="A9" s="14" t="n"/>
      <c r="B9" s="14" t="n"/>
      <c r="C9" s="14" t="n"/>
      <c r="D9" s="14" t="n"/>
      <c r="E9" s="14" t="n"/>
      <c r="F9" s="14" t="n"/>
      <c r="G9" s="14" t="n"/>
      <c r="H9" s="14" t="n"/>
    </row>
    <row r="10" ht="20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</row>
    <row r="11" ht="20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 ht="20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</row>
    <row r="13" ht="20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 ht="20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</row>
    <row r="15" ht="20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</row>
    <row r="16" ht="20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</row>
    <row r="17" ht="20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 ht="20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</row>
    <row r="19" ht="20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 ht="20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</row>
    <row r="21" ht="20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</row>
    <row r="22" ht="20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</row>
    <row r="23" ht="20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</row>
    <row r="24" ht="20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</row>
    <row r="25" ht="20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</row>
    <row r="26" ht="20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</row>
    <row r="27" ht="20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</row>
    <row r="28" ht="20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</row>
    <row r="29" ht="20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</row>
    <row r="30" ht="20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</row>
    <row r="31" ht="20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</row>
    <row r="32" ht="20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</row>
    <row r="33" ht="20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</row>
    <row r="34" ht="20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</row>
    <row r="35" ht="20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</row>
    <row r="36" ht="20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</row>
    <row r="37" ht="20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</row>
    <row r="38" ht="20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</row>
    <row r="39" ht="20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</row>
    <row r="40" ht="20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</row>
    <row r="41" ht="20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</row>
    <row r="42" ht="20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</row>
    <row r="43" ht="20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</row>
    <row r="44" ht="20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</row>
    <row r="45" ht="20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</row>
    <row r="46" ht="20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</row>
    <row r="47" ht="20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</row>
    <row r="48" ht="20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</row>
    <row r="49" ht="20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</row>
    <row r="50" ht="20" customHeight="1">
      <c r="A50" s="20" t="n"/>
      <c r="B50" s="20" t="n"/>
      <c r="C50" s="20" t="n"/>
      <c r="D50" s="20" t="n"/>
      <c r="E50" s="20" t="n"/>
      <c r="F50" s="20" t="n"/>
      <c r="G50" s="20" t="n"/>
      <c r="H50" s="20" t="n"/>
    </row>
    <row r="51" ht="20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</row>
    <row r="52" ht="20" customHeight="1">
      <c r="A52" s="20" t="n"/>
      <c r="B52" s="20" t="n"/>
      <c r="C52" s="20" t="n"/>
      <c r="D52" s="20" t="n"/>
      <c r="E52" s="20" t="n"/>
      <c r="F52" s="20" t="n"/>
      <c r="G52" s="20" t="n"/>
      <c r="H52" s="20" t="n"/>
    </row>
    <row r="53" ht="20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</row>
    <row r="54" ht="20" customHeight="1">
      <c r="A54" s="20" t="n"/>
      <c r="B54" s="20" t="n"/>
      <c r="C54" s="20" t="n"/>
      <c r="D54" s="20" t="n"/>
      <c r="E54" s="20" t="n"/>
      <c r="F54" s="20" t="n"/>
      <c r="G54" s="20" t="n"/>
      <c r="H54" s="20" t="n"/>
    </row>
    <row r="55" ht="20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</row>
    <row r="56" ht="20" customHeight="1">
      <c r="A56" s="20" t="n"/>
      <c r="B56" s="20" t="n"/>
      <c r="C56" s="20" t="n"/>
      <c r="D56" s="20" t="n"/>
      <c r="E56" s="20" t="n"/>
      <c r="F56" s="20" t="n"/>
      <c r="G56" s="20" t="n"/>
      <c r="H56" s="20" t="n"/>
    </row>
    <row r="57" ht="20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</row>
    <row r="58" ht="20" customHeight="1">
      <c r="A58" s="20" t="n"/>
      <c r="B58" s="20" t="n"/>
      <c r="C58" s="20" t="n"/>
      <c r="D58" s="20" t="n"/>
      <c r="E58" s="20" t="n"/>
      <c r="F58" s="20" t="n"/>
      <c r="G58" s="20" t="n"/>
      <c r="H58" s="20" t="n"/>
    </row>
    <row r="59" ht="20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</row>
    <row r="60" ht="20" customHeight="1">
      <c r="A60" s="20" t="n"/>
      <c r="B60" s="20" t="n"/>
      <c r="C60" s="20" t="n"/>
      <c r="D60" s="20" t="n"/>
      <c r="E60" s="20" t="n"/>
      <c r="F60" s="20" t="n"/>
      <c r="G60" s="20" t="n"/>
      <c r="H60" s="20" t="n"/>
    </row>
    <row r="61" ht="20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</row>
    <row r="62" ht="20" customHeight="1">
      <c r="A62" s="20" t="n"/>
      <c r="B62" s="20" t="n"/>
      <c r="C62" s="20" t="n"/>
      <c r="D62" s="20" t="n"/>
      <c r="E62" s="20" t="n"/>
      <c r="F62" s="20" t="n"/>
      <c r="G62" s="20" t="n"/>
      <c r="H62" s="20" t="n"/>
    </row>
    <row r="63" ht="20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</row>
    <row r="64" ht="20" customHeight="1">
      <c r="A64" s="20" t="n"/>
      <c r="B64" s="20" t="n"/>
      <c r="C64" s="20" t="n"/>
      <c r="D64" s="20" t="n"/>
      <c r="E64" s="20" t="n"/>
      <c r="F64" s="20" t="n"/>
      <c r="G64" s="20" t="n"/>
      <c r="H64" s="20" t="n"/>
    </row>
    <row r="65" ht="20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</row>
    <row r="66" ht="20" customHeight="1">
      <c r="A66" s="20" t="n"/>
      <c r="B66" s="20" t="n"/>
      <c r="C66" s="20" t="n"/>
      <c r="D66" s="20" t="n"/>
      <c r="E66" s="20" t="n"/>
      <c r="F66" s="20" t="n"/>
      <c r="G66" s="20" t="n"/>
      <c r="H66" s="20" t="n"/>
    </row>
    <row r="67" ht="20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</row>
    <row r="68" ht="20" customHeight="1">
      <c r="A68" s="20" t="n"/>
      <c r="B68" s="20" t="n"/>
      <c r="C68" s="20" t="n"/>
      <c r="D68" s="20" t="n"/>
      <c r="E68" s="20" t="n"/>
      <c r="F68" s="20" t="n"/>
      <c r="G68" s="20" t="n"/>
      <c r="H68" s="20" t="n"/>
    </row>
    <row r="69" ht="20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</row>
    <row r="70" ht="20" customHeight="1">
      <c r="A70" s="20" t="n"/>
      <c r="B70" s="20" t="n"/>
      <c r="C70" s="20" t="n"/>
      <c r="D70" s="20" t="n"/>
      <c r="E70" s="20" t="n"/>
      <c r="F70" s="20" t="n"/>
      <c r="G70" s="20" t="n"/>
      <c r="H70" s="20" t="n"/>
    </row>
    <row r="71" ht="20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</row>
    <row r="72" ht="20" customHeight="1">
      <c r="A72" s="20" t="n"/>
      <c r="B72" s="20" t="n"/>
      <c r="C72" s="20" t="n"/>
      <c r="D72" s="20" t="n"/>
      <c r="E72" s="20" t="n"/>
      <c r="F72" s="20" t="n"/>
      <c r="G72" s="20" t="n"/>
      <c r="H72" s="20" t="n"/>
    </row>
    <row r="73" ht="20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</row>
    <row r="74" ht="20" customHeight="1">
      <c r="A74" s="20" t="n"/>
      <c r="B74" s="20" t="n"/>
      <c r="C74" s="20" t="n"/>
      <c r="D74" s="20" t="n"/>
      <c r="E74" s="20" t="n"/>
      <c r="F74" s="20" t="n"/>
      <c r="G74" s="20" t="n"/>
      <c r="H74" s="20" t="n"/>
    </row>
    <row r="75" ht="20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</row>
    <row r="76" ht="20" customHeight="1">
      <c r="A76" s="20" t="n"/>
      <c r="B76" s="20" t="n"/>
      <c r="C76" s="20" t="n"/>
      <c r="D76" s="20" t="n"/>
      <c r="E76" s="20" t="n"/>
      <c r="F76" s="20" t="n"/>
      <c r="G76" s="20" t="n"/>
      <c r="H76" s="20" t="n"/>
    </row>
    <row r="77" ht="20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</row>
    <row r="78" ht="20" customHeight="1">
      <c r="A78" s="20" t="n"/>
      <c r="B78" s="20" t="n"/>
      <c r="C78" s="20" t="n"/>
      <c r="D78" s="20" t="n"/>
      <c r="E78" s="20" t="n"/>
      <c r="F78" s="20" t="n"/>
      <c r="G78" s="20" t="n"/>
      <c r="H78" s="20" t="n"/>
    </row>
    <row r="79" ht="20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</row>
    <row r="80" ht="20" customHeight="1">
      <c r="A80" s="20" t="n"/>
      <c r="B80" s="20" t="n"/>
      <c r="C80" s="20" t="n"/>
      <c r="D80" s="20" t="n"/>
      <c r="E80" s="20" t="n"/>
      <c r="F80" s="20" t="n"/>
      <c r="G80" s="20" t="n"/>
      <c r="H80" s="20" t="n"/>
    </row>
    <row r="81" ht="20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</row>
    <row r="82" ht="20" customHeight="1">
      <c r="A82" s="20" t="n"/>
      <c r="B82" s="20" t="n"/>
      <c r="C82" s="20" t="n"/>
      <c r="D82" s="20" t="n"/>
      <c r="E82" s="20" t="n"/>
      <c r="F82" s="20" t="n"/>
      <c r="G82" s="20" t="n"/>
      <c r="H82" s="20" t="n"/>
    </row>
    <row r="83" ht="20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</row>
    <row r="84" ht="20" customHeight="1">
      <c r="A84" s="20" t="n"/>
      <c r="B84" s="20" t="n"/>
      <c r="C84" s="20" t="n"/>
      <c r="D84" s="20" t="n"/>
      <c r="E84" s="20" t="n"/>
      <c r="F84" s="20" t="n"/>
      <c r="G84" s="20" t="n"/>
      <c r="H84" s="20" t="n"/>
    </row>
    <row r="85" ht="20" customHeight="1">
      <c r="A85" s="14" t="n"/>
      <c r="B85" s="14" t="n"/>
      <c r="C85" s="14" t="n"/>
      <c r="D85" s="14" t="n"/>
      <c r="E85" s="14" t="n"/>
      <c r="F85" s="14" t="n"/>
      <c r="G85" s="14" t="n"/>
      <c r="H85" s="14" t="n"/>
    </row>
    <row r="86" ht="20" customHeight="1">
      <c r="A86" s="20" t="n"/>
      <c r="B86" s="20" t="n"/>
      <c r="C86" s="20" t="n"/>
      <c r="D86" s="20" t="n"/>
      <c r="E86" s="20" t="n"/>
      <c r="F86" s="20" t="n"/>
      <c r="G86" s="20" t="n"/>
      <c r="H86" s="20" t="n"/>
    </row>
    <row r="87" ht="20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</row>
    <row r="88" ht="20" customHeight="1">
      <c r="A88" s="20" t="n"/>
      <c r="B88" s="20" t="n"/>
      <c r="C88" s="20" t="n"/>
      <c r="D88" s="20" t="n"/>
      <c r="E88" s="20" t="n"/>
      <c r="F88" s="20" t="n"/>
      <c r="G88" s="20" t="n"/>
      <c r="H88" s="20" t="n"/>
    </row>
    <row r="89" ht="20" customHeight="1">
      <c r="A89" s="14" t="n"/>
      <c r="B89" s="14" t="n"/>
      <c r="C89" s="14" t="n"/>
      <c r="D89" s="14" t="n"/>
      <c r="E89" s="14" t="n"/>
      <c r="F89" s="14" t="n"/>
      <c r="G89" s="14" t="n"/>
      <c r="H89" s="14" t="n"/>
    </row>
    <row r="90" ht="20" customHeight="1">
      <c r="A90" s="20" t="n"/>
      <c r="B90" s="20" t="n"/>
      <c r="C90" s="20" t="n"/>
      <c r="D90" s="20" t="n"/>
      <c r="E90" s="20" t="n"/>
      <c r="F90" s="20" t="n"/>
      <c r="G90" s="20" t="n"/>
      <c r="H90" s="20" t="n"/>
    </row>
    <row r="91" ht="20" customHeight="1">
      <c r="A91" s="14" t="n"/>
      <c r="B91" s="14" t="n"/>
      <c r="C91" s="14" t="n"/>
      <c r="D91" s="14" t="n"/>
      <c r="E91" s="14" t="n"/>
      <c r="F91" s="14" t="n"/>
      <c r="G91" s="14" t="n"/>
      <c r="H91" s="14" t="n"/>
    </row>
    <row r="92" ht="20" customHeight="1">
      <c r="A92" s="20" t="n"/>
      <c r="B92" s="20" t="n"/>
      <c r="C92" s="20" t="n"/>
      <c r="D92" s="20" t="n"/>
      <c r="E92" s="20" t="n"/>
      <c r="F92" s="20" t="n"/>
      <c r="G92" s="20" t="n"/>
      <c r="H92" s="20" t="n"/>
    </row>
    <row r="93" ht="20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</row>
    <row r="94" ht="20" customHeight="1">
      <c r="A94" s="20" t="n"/>
      <c r="B94" s="20" t="n"/>
      <c r="C94" s="20" t="n"/>
      <c r="D94" s="20" t="n"/>
      <c r="E94" s="20" t="n"/>
      <c r="F94" s="20" t="n"/>
      <c r="G94" s="20" t="n"/>
      <c r="H94" s="20" t="n"/>
    </row>
    <row r="95" ht="20" customHeight="1">
      <c r="A95" s="14" t="n"/>
      <c r="B95" s="14" t="n"/>
      <c r="C95" s="14" t="n"/>
      <c r="D95" s="14" t="n"/>
      <c r="E95" s="14" t="n"/>
      <c r="F95" s="14" t="n"/>
      <c r="G95" s="14" t="n"/>
      <c r="H95" s="14" t="n"/>
    </row>
    <row r="96" ht="20" customHeight="1">
      <c r="A96" s="20" t="n"/>
      <c r="B96" s="20" t="n"/>
      <c r="C96" s="20" t="n"/>
      <c r="D96" s="20" t="n"/>
      <c r="E96" s="20" t="n"/>
      <c r="F96" s="20" t="n"/>
      <c r="G96" s="20" t="n"/>
      <c r="H96" s="20" t="n"/>
    </row>
    <row r="97" ht="20" customHeight="1">
      <c r="A97" s="14" t="n"/>
      <c r="B97" s="14" t="n"/>
      <c r="C97" s="14" t="n"/>
      <c r="D97" s="14" t="n"/>
      <c r="E97" s="14" t="n"/>
      <c r="F97" s="14" t="n"/>
      <c r="G97" s="14" t="n"/>
      <c r="H97" s="14" t="n"/>
    </row>
    <row r="98" ht="20" customHeight="1">
      <c r="A98" s="20" t="n"/>
      <c r="B98" s="20" t="n"/>
      <c r="C98" s="20" t="n"/>
      <c r="D98" s="20" t="n"/>
      <c r="E98" s="20" t="n"/>
      <c r="F98" s="20" t="n"/>
      <c r="G98" s="20" t="n"/>
      <c r="H98" s="20" t="n"/>
    </row>
    <row r="99" ht="20" customHeight="1">
      <c r="A99" s="14" t="n"/>
      <c r="B99" s="14" t="n"/>
      <c r="C99" s="14" t="n"/>
      <c r="D99" s="14" t="n"/>
      <c r="E99" s="14" t="n"/>
      <c r="F99" s="14" t="n"/>
      <c r="G99" s="14" t="n"/>
      <c r="H99" s="14" t="n"/>
    </row>
    <row r="100" ht="22" customHeight="1">
      <c r="A100" s="21" t="inlineStr">
        <is>
          <t>TOTAL MORTALITY</t>
        </is>
      </c>
      <c r="B100" s="63" t="n"/>
      <c r="C100" s="64" t="n"/>
      <c r="D100" s="22">
        <f>SUM(D3:D99)</f>
        <v/>
      </c>
      <c r="E100" s="21" t="inlineStr">
        <is>
          <t>TOTAL TREATMENT COST (₦)</t>
        </is>
      </c>
      <c r="F100" s="63" t="n"/>
      <c r="G100" s="64" t="n"/>
      <c r="H100" s="22">
        <f>SUM(H3:H99)</f>
        <v/>
      </c>
    </row>
  </sheetData>
  <mergeCells count="3">
    <mergeCell ref="E100:G100"/>
    <mergeCell ref="A100:C100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 ht="36" customHeight="1">
      <c r="A1" s="23" t="inlineStr">
        <is>
          <t>💰  COST &amp; PROFIT ANALYSIS</t>
        </is>
      </c>
    </row>
    <row r="3" ht="24" customHeight="1">
      <c r="A3" s="2" t="inlineStr">
        <is>
          <t>STARTUP / CAPITAL COSTS (One-Time)</t>
        </is>
      </c>
      <c r="B3" s="63" t="n"/>
      <c r="C3" s="63" t="n"/>
      <c r="D3" s="63" t="n"/>
      <c r="E3" s="64" t="n"/>
    </row>
    <row r="4" ht="22" customHeight="1">
      <c r="A4" s="4" t="inlineStr">
        <is>
          <t>#</t>
        </is>
      </c>
      <c r="B4" s="4" t="inlineStr">
        <is>
          <t>Item</t>
        </is>
      </c>
      <c r="C4" s="4" t="inlineStr">
        <is>
          <t>Qty</t>
        </is>
      </c>
      <c r="D4" s="4" t="inlineStr">
        <is>
          <t>Unit Cost (₦)</t>
        </is>
      </c>
      <c r="E4" s="4" t="inlineStr">
        <is>
          <t>Total (₦)</t>
        </is>
      </c>
    </row>
    <row r="5" ht="20" customHeight="1">
      <c r="A5" s="9" t="n">
        <v>1</v>
      </c>
      <c r="B5" s="24" t="inlineStr">
        <is>
          <t>Tank 5,000L</t>
        </is>
      </c>
      <c r="C5" s="9" t="n">
        <v>1</v>
      </c>
      <c r="D5" s="25" t="n">
        <v>0</v>
      </c>
      <c r="E5" s="9">
        <f>C5*D5</f>
        <v/>
      </c>
    </row>
    <row r="6" ht="20" customHeight="1">
      <c r="A6" s="26" t="n">
        <v>2</v>
      </c>
      <c r="B6" s="27" t="inlineStr">
        <is>
          <t>Tank 4,000L/3,500L</t>
        </is>
      </c>
      <c r="C6" s="26" t="n">
        <v>1</v>
      </c>
      <c r="D6" s="25" t="n">
        <v>0</v>
      </c>
      <c r="E6" s="26">
        <f>C6*D6</f>
        <v/>
      </c>
    </row>
    <row r="7" ht="20" customHeight="1">
      <c r="A7" s="9" t="n">
        <v>3</v>
      </c>
      <c r="B7" s="24" t="inlineStr">
        <is>
          <t>Tank 2,500L</t>
        </is>
      </c>
      <c r="C7" s="9" t="n">
        <v>1</v>
      </c>
      <c r="D7" s="25" t="n">
        <v>0</v>
      </c>
      <c r="E7" s="9">
        <f>C7*D7</f>
        <v/>
      </c>
    </row>
    <row r="8" ht="20" customHeight="1">
      <c r="A8" s="26" t="n">
        <v>4</v>
      </c>
      <c r="B8" s="27" t="inlineStr">
        <is>
          <t>Tarpaulin Tank 12x12x4ft</t>
        </is>
      </c>
      <c r="C8" s="26" t="n">
        <v>1</v>
      </c>
      <c r="D8" s="25" t="n">
        <v>0</v>
      </c>
      <c r="E8" s="26">
        <f>C8*D8</f>
        <v/>
      </c>
    </row>
    <row r="9" ht="20" customHeight="1">
      <c r="A9" s="9" t="n">
        <v>5</v>
      </c>
      <c r="B9" s="24" t="inlineStr">
        <is>
          <t>Borehole</t>
        </is>
      </c>
      <c r="C9" s="9" t="n">
        <v>1</v>
      </c>
      <c r="D9" s="25" t="n">
        <v>0</v>
      </c>
      <c r="E9" s="9">
        <f>C9*D9</f>
        <v/>
      </c>
    </row>
    <row r="10" ht="20" customHeight="1">
      <c r="A10" s="26" t="n">
        <v>6</v>
      </c>
      <c r="B10" s="27" t="inlineStr">
        <is>
          <t>Solar Camera</t>
        </is>
      </c>
      <c r="C10" s="26" t="n">
        <v>1</v>
      </c>
      <c r="D10" s="25" t="n">
        <v>0</v>
      </c>
      <c r="E10" s="26">
        <f>C10*D10</f>
        <v/>
      </c>
    </row>
    <row r="11" ht="20" customHeight="1">
      <c r="A11" s="9" t="n">
        <v>7</v>
      </c>
      <c r="B11" s="24" t="inlineStr">
        <is>
          <t>Aerator/Blower</t>
        </is>
      </c>
      <c r="C11" s="9" t="n">
        <v>1</v>
      </c>
      <c r="D11" s="25" t="n">
        <v>0</v>
      </c>
      <c r="E11" s="9">
        <f>C11*D11</f>
        <v/>
      </c>
    </row>
    <row r="12" ht="20" customHeight="1">
      <c r="A12" s="26" t="n">
        <v>8</v>
      </c>
      <c r="B12" s="27" t="inlineStr">
        <is>
          <t>Air Stones &amp; Pipes</t>
        </is>
      </c>
      <c r="C12" s="26" t="n">
        <v>1</v>
      </c>
      <c r="D12" s="25" t="n">
        <v>0</v>
      </c>
      <c r="E12" s="26">
        <f>C12*D12</f>
        <v/>
      </c>
    </row>
    <row r="13" ht="20" customHeight="1">
      <c r="A13" s="9" t="n">
        <v>9</v>
      </c>
      <c r="B13" s="24" t="inlineStr">
        <is>
          <t>Plumbing (Inlet/Outlet)</t>
        </is>
      </c>
      <c r="C13" s="9" t="n">
        <v>1</v>
      </c>
      <c r="D13" s="25" t="n">
        <v>0</v>
      </c>
      <c r="E13" s="9">
        <f>C13*D13</f>
        <v/>
      </c>
    </row>
    <row r="14" ht="20" customHeight="1">
      <c r="A14" s="26" t="n">
        <v>10</v>
      </c>
      <c r="B14" s="27" t="inlineStr">
        <is>
          <t>Test Kit (Water)</t>
        </is>
      </c>
      <c r="C14" s="26" t="n">
        <v>1</v>
      </c>
      <c r="D14" s="25" t="n">
        <v>0</v>
      </c>
      <c r="E14" s="26">
        <f>C14*D14</f>
        <v/>
      </c>
    </row>
    <row r="15" ht="20" customHeight="1">
      <c r="A15" s="9" t="n">
        <v>11</v>
      </c>
      <c r="B15" s="24" t="inlineStr">
        <is>
          <t>Feeding Equipment</t>
        </is>
      </c>
      <c r="C15" s="9" t="n">
        <v>1</v>
      </c>
      <c r="D15" s="25" t="n">
        <v>0</v>
      </c>
      <c r="E15" s="9">
        <f>C15*D15</f>
        <v/>
      </c>
    </row>
    <row r="16" ht="20" customHeight="1">
      <c r="A16" s="26" t="n">
        <v>12</v>
      </c>
      <c r="B16" s="27" t="inlineStr">
        <is>
          <t>Other Equipment</t>
        </is>
      </c>
      <c r="C16" s="26" t="n">
        <v>1</v>
      </c>
      <c r="D16" s="25" t="n">
        <v>0</v>
      </c>
      <c r="E16" s="26">
        <f>C16*D16</f>
        <v/>
      </c>
    </row>
    <row r="17">
      <c r="A17" s="28" t="inlineStr">
        <is>
          <t>TOTAL STARTUP COST</t>
        </is>
      </c>
      <c r="B17" s="63" t="n"/>
      <c r="C17" s="63" t="n"/>
      <c r="D17" s="64" t="n"/>
      <c r="E17" s="29">
        <f>SUM(E5:E16)</f>
        <v/>
      </c>
    </row>
    <row r="19">
      <c r="A19" s="2" t="inlineStr">
        <is>
          <t>OPERATING COSTS (Per Cycle)</t>
        </is>
      </c>
      <c r="B19" s="63" t="n"/>
      <c r="C19" s="63" t="n"/>
      <c r="D19" s="63" t="n"/>
      <c r="E19" s="64" t="n"/>
    </row>
    <row r="20">
      <c r="A20" s="4" t="inlineStr">
        <is>
          <t>#</t>
        </is>
      </c>
      <c r="B20" s="4" t="inlineStr">
        <is>
          <t>Item</t>
        </is>
      </c>
      <c r="C20" s="4" t="inlineStr">
        <is>
          <t>Qty/Amount</t>
        </is>
      </c>
      <c r="D20" s="4" t="inlineStr">
        <is>
          <t>Unit Cost (₦)</t>
        </is>
      </c>
      <c r="E20" s="4" t="inlineStr">
        <is>
          <t>Total (₦)</t>
        </is>
      </c>
    </row>
    <row r="21" ht="20" customHeight="1">
      <c r="A21" s="9" t="n">
        <v>1</v>
      </c>
      <c r="B21" s="24" t="inlineStr">
        <is>
          <t>Juveniles (550 received)</t>
        </is>
      </c>
      <c r="C21" s="9" t="n">
        <v>550</v>
      </c>
      <c r="D21" s="25" t="n">
        <v>70</v>
      </c>
      <c r="E21" s="9">
        <f>IF(D21&gt;0,C21*D21,0)</f>
        <v/>
      </c>
      <c r="F21" s="75" t="inlineStr">
        <is>
          <t>Paid ₦70×500=₦35,000. Received 550 (extra 50 = 10% free bonus)</t>
        </is>
      </c>
    </row>
    <row r="22" ht="20" customHeight="1">
      <c r="A22" s="8" t="n">
        <v>2</v>
      </c>
      <c r="B22" s="30" t="inlineStr">
        <is>
          <t>Feed - Starter (45% protein)</t>
        </is>
      </c>
      <c r="C22" s="8" t="inlineStr"/>
      <c r="D22" s="25" t="n">
        <v>0</v>
      </c>
      <c r="E22" s="8">
        <f>IF(D22&gt;0,C22*D22,0)</f>
        <v/>
      </c>
    </row>
    <row r="23" ht="20" customHeight="1">
      <c r="A23" s="9" t="n">
        <v>3</v>
      </c>
      <c r="B23" s="24" t="inlineStr">
        <is>
          <t>Feed - Grower</t>
        </is>
      </c>
      <c r="C23" s="9" t="inlineStr"/>
      <c r="D23" s="25" t="n">
        <v>0</v>
      </c>
      <c r="E23" s="9">
        <f>IF(D23&gt;0,C23*D23,0)</f>
        <v/>
      </c>
    </row>
    <row r="24" ht="20" customHeight="1">
      <c r="A24" s="8" t="n">
        <v>4</v>
      </c>
      <c r="B24" s="30" t="inlineStr">
        <is>
          <t>Feed - Finisher</t>
        </is>
      </c>
      <c r="C24" s="8" t="inlineStr"/>
      <c r="D24" s="25" t="n">
        <v>0</v>
      </c>
      <c r="E24" s="8">
        <f>IF(D24&gt;0,C24*D24,0)</f>
        <v/>
      </c>
    </row>
    <row r="25" ht="20" customHeight="1">
      <c r="A25" s="9" t="n">
        <v>5</v>
      </c>
      <c r="B25" s="24" t="inlineStr">
        <is>
          <t>Medication &amp; Treatment</t>
        </is>
      </c>
      <c r="C25" s="9" t="inlineStr"/>
      <c r="D25" s="25" t="n">
        <v>0</v>
      </c>
      <c r="E25" s="9">
        <f>IF(D25&gt;0,C25*D25,0)</f>
        <v/>
      </c>
    </row>
    <row r="26" ht="20" customHeight="1">
      <c r="A26" s="8" t="n">
        <v>6</v>
      </c>
      <c r="B26" s="30" t="inlineStr">
        <is>
          <t>Labour (if any)</t>
        </is>
      </c>
      <c r="C26" s="8" t="inlineStr"/>
      <c r="D26" s="25" t="n">
        <v>0</v>
      </c>
      <c r="E26" s="8">
        <f>IF(D26&gt;0,C26*D26,0)</f>
        <v/>
      </c>
    </row>
    <row r="27" ht="20" customHeight="1">
      <c r="A27" s="9" t="n">
        <v>7</v>
      </c>
      <c r="B27" s="24" t="inlineStr">
        <is>
          <t>Electricity/Generator Fuel</t>
        </is>
      </c>
      <c r="C27" s="9" t="inlineStr"/>
      <c r="D27" s="25" t="n">
        <v>0</v>
      </c>
      <c r="E27" s="9">
        <f>IF(D27&gt;0,C27*D27,0)</f>
        <v/>
      </c>
    </row>
    <row r="28" ht="20" customHeight="1">
      <c r="A28" s="8" t="n">
        <v>8</v>
      </c>
      <c r="B28" s="30" t="inlineStr">
        <is>
          <t>Water (Borehole running cost)</t>
        </is>
      </c>
      <c r="C28" s="8" t="inlineStr"/>
      <c r="D28" s="25" t="n">
        <v>0</v>
      </c>
      <c r="E28" s="8">
        <f>IF(D28&gt;0,C28*D28,0)</f>
        <v/>
      </c>
    </row>
    <row r="29" ht="20" customHeight="1">
      <c r="A29" s="9" t="n">
        <v>9</v>
      </c>
      <c r="B29" s="24" t="inlineStr">
        <is>
          <t>Transport/Logistics</t>
        </is>
      </c>
      <c r="C29" s="9" t="inlineStr"/>
      <c r="D29" s="25" t="n">
        <v>0</v>
      </c>
      <c r="E29" s="9">
        <f>IF(D29&gt;0,C29*D29,0)</f>
        <v/>
      </c>
    </row>
    <row r="30" ht="20" customHeight="1">
      <c r="A30" s="8" t="n">
        <v>10</v>
      </c>
      <c r="B30" s="30" t="inlineStr">
        <is>
          <t>Miscellaneous</t>
        </is>
      </c>
      <c r="C30" s="8" t="inlineStr"/>
      <c r="D30" s="25" t="n">
        <v>0</v>
      </c>
      <c r="E30" s="8">
        <f>IF(D30&gt;0,C30*D30,0)</f>
        <v/>
      </c>
    </row>
    <row r="31">
      <c r="A31" s="28" t="inlineStr">
        <is>
          <t>TOTAL OPERATING COST</t>
        </is>
      </c>
      <c r="B31" s="63" t="n"/>
      <c r="C31" s="63" t="n"/>
      <c r="D31" s="64" t="n"/>
      <c r="E31" s="29">
        <f>SUM(E21:E30)</f>
        <v/>
      </c>
    </row>
    <row r="33">
      <c r="A33" s="10" t="inlineStr">
        <is>
          <t>REVENUE &amp; PROFIT CALCULATOR</t>
        </is>
      </c>
      <c r="B33" s="63" t="n"/>
      <c r="C33" s="63" t="n"/>
      <c r="D33" s="63" t="n"/>
      <c r="E33" s="64" t="n"/>
    </row>
    <row r="34" ht="22" customHeight="1">
      <c r="A34" s="31" t="inlineStr"/>
      <c r="B34" s="32" t="inlineStr">
        <is>
          <t>Fish Harvested (No.)</t>
        </is>
      </c>
      <c r="C34" s="33" t="inlineStr"/>
      <c r="D34" s="34" t="inlineStr"/>
      <c r="E34" s="64" t="n"/>
    </row>
    <row r="35" ht="22" customHeight="1">
      <c r="A35" s="35" t="inlineStr"/>
      <c r="B35" s="36" t="inlineStr">
        <is>
          <t>Average Weight at Harvest (kg)</t>
        </is>
      </c>
      <c r="C35" s="14" t="inlineStr"/>
      <c r="D35" s="37" t="inlineStr"/>
      <c r="E35" s="64" t="n"/>
    </row>
    <row r="36" ht="22" customHeight="1">
      <c r="A36" s="31" t="inlineStr"/>
      <c r="B36" s="32" t="inlineStr">
        <is>
          <t>Total Biomass (kg)</t>
        </is>
      </c>
      <c r="C36" s="33">
        <f>B34*B35</f>
        <v/>
      </c>
      <c r="D36" s="34" t="inlineStr">
        <is>
          <t>Auto-calculated</t>
        </is>
      </c>
      <c r="E36" s="64" t="n"/>
    </row>
    <row r="37" ht="22" customHeight="1">
      <c r="A37" s="35" t="inlineStr"/>
      <c r="B37" s="36" t="inlineStr">
        <is>
          <t>Selling Price per kg (₦)</t>
        </is>
      </c>
      <c r="C37" s="14" t="n">
        <v>2800</v>
      </c>
      <c r="D37" s="37" t="inlineStr">
        <is>
          <t>Update with market price</t>
        </is>
      </c>
      <c r="E37" s="64" t="n"/>
    </row>
    <row r="38" ht="22" customHeight="1">
      <c r="A38" s="38" t="inlineStr"/>
      <c r="B38" s="39" t="inlineStr">
        <is>
          <t>GROSS REVENUE (₦)</t>
        </is>
      </c>
      <c r="C38" s="40">
        <f>B36*B37</f>
        <v/>
      </c>
      <c r="D38" s="41" t="inlineStr">
        <is>
          <t>Auto-calculated</t>
        </is>
      </c>
      <c r="E38" s="64" t="n"/>
    </row>
    <row r="39" ht="22" customHeight="1">
      <c r="A39" s="35" t="inlineStr"/>
      <c r="B39" s="36" t="inlineStr">
        <is>
          <t>Total Operating Cost (₦)</t>
        </is>
      </c>
      <c r="C39" s="14">
        <f>E31</f>
        <v/>
      </c>
      <c r="D39" s="37" t="inlineStr">
        <is>
          <t>From above</t>
        </is>
      </c>
      <c r="E39" s="64" t="n"/>
    </row>
    <row r="40" ht="22" customHeight="1">
      <c r="A40" s="38" t="inlineStr"/>
      <c r="B40" s="39" t="inlineStr">
        <is>
          <t>NET PROFIT (₦)</t>
        </is>
      </c>
      <c r="C40" s="40">
        <f>B38-B39</f>
        <v/>
      </c>
      <c r="D40" s="41" t="inlineStr">
        <is>
          <t>Auto-calculated</t>
        </is>
      </c>
      <c r="E40" s="64" t="n"/>
    </row>
    <row r="41" ht="22" customHeight="1">
      <c r="A41" s="38" t="inlineStr"/>
      <c r="B41" s="39" t="inlineStr">
        <is>
          <t>ROI (%)</t>
        </is>
      </c>
      <c r="C41" s="40">
        <f>IF(E31&gt;0,(B38-E31)/E31*100,0)</f>
        <v/>
      </c>
      <c r="D41" s="41" t="inlineStr">
        <is>
          <t>Return on Investment</t>
        </is>
      </c>
      <c r="E41" s="64" t="n"/>
    </row>
  </sheetData>
  <mergeCells count="22">
    <mergeCell ref="A17:D17"/>
    <mergeCell ref="A35"/>
    <mergeCell ref="D34:E34"/>
    <mergeCell ref="A38"/>
    <mergeCell ref="A1:E1"/>
    <mergeCell ref="D40:E40"/>
    <mergeCell ref="D36:E36"/>
    <mergeCell ref="A31:D31"/>
    <mergeCell ref="A34"/>
    <mergeCell ref="A40"/>
    <mergeCell ref="A39"/>
    <mergeCell ref="D41:E41"/>
    <mergeCell ref="A36"/>
    <mergeCell ref="A3:E3"/>
    <mergeCell ref="A33:E33"/>
    <mergeCell ref="D37:E37"/>
    <mergeCell ref="A41"/>
    <mergeCell ref="A37"/>
    <mergeCell ref="D39:E39"/>
    <mergeCell ref="A19:E19"/>
    <mergeCell ref="D38:E38"/>
    <mergeCell ref="D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 ht="36" customHeight="1">
      <c r="A1" s="12" t="inlineStr">
        <is>
          <t>🌊  WATER QUALITY LOG</t>
        </is>
      </c>
      <c r="B1" s="63" t="n"/>
      <c r="C1" s="63" t="n"/>
      <c r="D1" s="63" t="n"/>
      <c r="E1" s="63" t="n"/>
      <c r="F1" s="63" t="n"/>
      <c r="G1" s="63" t="n"/>
      <c r="H1" s="63" t="n"/>
      <c r="I1" s="63" t="n"/>
      <c r="J1" s="64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24" customHeight="1">
      <c r="A3" s="4" t="inlineStr">
        <is>
          <t>SAFE RANGES:  pH: 6.5–8.0  |  Ammonia: &lt;0.5 ppm  |  Nitrite: &lt;0.3 ppm  |  Dissolved O₂: &gt;5 mg/L  |  Temp: 26–30°C</t>
        </is>
      </c>
      <c r="B3" s="63" t="n"/>
      <c r="C3" s="63" t="n"/>
      <c r="D3" s="63" t="n"/>
      <c r="E3" s="63" t="n"/>
      <c r="F3" s="63" t="n"/>
      <c r="G3" s="63" t="n"/>
      <c r="H3" s="63" t="n"/>
      <c r="I3" s="63" t="n"/>
      <c r="J3" s="64" t="n"/>
    </row>
    <row r="4" ht="36" customHeight="1">
      <c r="A4" s="17" t="inlineStr">
        <is>
          <t>#</t>
        </is>
      </c>
      <c r="B4" s="17" t="inlineStr">
        <is>
          <t>Date</t>
        </is>
      </c>
      <c r="C4" s="17" t="inlineStr">
        <is>
          <t>Tank</t>
        </is>
      </c>
      <c r="D4" s="17" t="inlineStr">
        <is>
          <t>pH</t>
        </is>
      </c>
      <c r="E4" s="17" t="inlineStr">
        <is>
          <t>Ammonia
(ppm)</t>
        </is>
      </c>
      <c r="F4" s="17" t="inlineStr">
        <is>
          <t>Nitrite
(ppm)</t>
        </is>
      </c>
      <c r="G4" s="17" t="inlineStr">
        <is>
          <t>Nitrate
(ppm)</t>
        </is>
      </c>
      <c r="H4" s="17" t="inlineStr">
        <is>
          <t>D.O.
(mg/L)</t>
        </is>
      </c>
      <c r="I4" s="17" t="inlineStr">
        <is>
          <t>Temp
(°C)</t>
        </is>
      </c>
      <c r="J4" s="17" t="inlineStr">
        <is>
          <t>Action Taken</t>
        </is>
      </c>
    </row>
    <row r="5" ht="18" customHeight="1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 ht="18" customHeight="1">
      <c r="A6" s="42" t="n"/>
      <c r="B6" s="42" t="n"/>
      <c r="C6" s="42" t="n"/>
      <c r="D6" s="42" t="n"/>
      <c r="E6" s="42" t="n"/>
      <c r="F6" s="42" t="n"/>
      <c r="G6" s="42" t="n"/>
      <c r="H6" s="42" t="n"/>
      <c r="I6" s="42" t="n"/>
      <c r="J6" s="42" t="n"/>
    </row>
    <row r="7" ht="18" customHeight="1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</row>
    <row r="8" ht="18" customHeight="1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</row>
    <row r="9" ht="18" customHeight="1">
      <c r="A9" s="14" t="n"/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</row>
    <row r="10" ht="18" customHeight="1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</row>
    <row r="11" ht="18" customHeight="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 ht="18" customHeight="1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</row>
    <row r="13" ht="18" customHeight="1">
      <c r="A13" s="14" t="n"/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</row>
    <row r="14" ht="18" customHeight="1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</row>
    <row r="15" ht="18" customHeight="1">
      <c r="A15" s="14" t="n"/>
      <c r="B15" s="14" t="n"/>
      <c r="C15" s="14" t="n"/>
      <c r="D15" s="14" t="n"/>
      <c r="E15" s="14" t="n"/>
      <c r="F15" s="14" t="n"/>
      <c r="G15" s="14" t="n"/>
      <c r="H15" s="14" t="n"/>
      <c r="I15" s="14" t="n"/>
      <c r="J15" s="14" t="n"/>
    </row>
    <row r="16" ht="18" customHeight="1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</row>
    <row r="17" ht="18" customHeigh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</row>
    <row r="18" ht="18" customHeight="1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</row>
    <row r="19" ht="18" customHeight="1">
      <c r="A19" s="14" t="n"/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</row>
    <row r="20" ht="18" customHeight="1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</row>
    <row r="21" ht="18" customHeight="1">
      <c r="A21" s="14" t="n"/>
      <c r="B21" s="14" t="n"/>
      <c r="C21" s="14" t="n"/>
      <c r="D21" s="14" t="n"/>
      <c r="E21" s="14" t="n"/>
      <c r="F21" s="14" t="n"/>
      <c r="G21" s="14" t="n"/>
      <c r="H21" s="14" t="n"/>
      <c r="I21" s="14" t="n"/>
      <c r="J21" s="14" t="n"/>
    </row>
    <row r="22" ht="18" customHeight="1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</row>
    <row r="23" ht="18" customHeight="1">
      <c r="A23" s="14" t="n"/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</row>
    <row r="24" ht="18" customHeight="1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</row>
    <row r="25" ht="18" customHeight="1">
      <c r="A25" s="14" t="n"/>
      <c r="B25" s="14" t="n"/>
      <c r="C25" s="14" t="n"/>
      <c r="D25" s="14" t="n"/>
      <c r="E25" s="14" t="n"/>
      <c r="F25" s="14" t="n"/>
      <c r="G25" s="14" t="n"/>
      <c r="H25" s="14" t="n"/>
      <c r="I25" s="14" t="n"/>
      <c r="J25" s="14" t="n"/>
    </row>
    <row r="26" ht="18" customHeight="1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</row>
    <row r="27" ht="18" customHeight="1">
      <c r="A27" s="14" t="n"/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 ht="18" customHeight="1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</row>
    <row r="29" ht="18" customHeight="1">
      <c r="A29" s="14" t="n"/>
      <c r="B29" s="14" t="n"/>
      <c r="C29" s="14" t="n"/>
      <c r="D29" s="14" t="n"/>
      <c r="E29" s="14" t="n"/>
      <c r="F29" s="14" t="n"/>
      <c r="G29" s="14" t="n"/>
      <c r="H29" s="14" t="n"/>
      <c r="I29" s="14" t="n"/>
      <c r="J29" s="14" t="n"/>
    </row>
    <row r="30" ht="18" customHeight="1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</row>
    <row r="31" ht="18" customHeight="1">
      <c r="A31" s="14" t="n"/>
      <c r="B31" s="14" t="n"/>
      <c r="C31" s="14" t="n"/>
      <c r="D31" s="14" t="n"/>
      <c r="E31" s="14" t="n"/>
      <c r="F31" s="14" t="n"/>
      <c r="G31" s="14" t="n"/>
      <c r="H31" s="14" t="n"/>
      <c r="I31" s="14" t="n"/>
      <c r="J31" s="14" t="n"/>
    </row>
    <row r="32" ht="18" customHeight="1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</row>
    <row r="33" ht="18" customHeight="1">
      <c r="A33" s="14" t="n"/>
      <c r="B33" s="14" t="n"/>
      <c r="C33" s="14" t="n"/>
      <c r="D33" s="14" t="n"/>
      <c r="E33" s="14" t="n"/>
      <c r="F33" s="14" t="n"/>
      <c r="G33" s="14" t="n"/>
      <c r="H33" s="14" t="n"/>
      <c r="I33" s="14" t="n"/>
      <c r="J33" s="14" t="n"/>
    </row>
    <row r="34" ht="18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</row>
    <row r="35" ht="18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</row>
    <row r="36" ht="18" customHeight="1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</row>
    <row r="37" ht="18" customHeight="1">
      <c r="A37" s="14" t="n"/>
      <c r="B37" s="14" t="n"/>
      <c r="C37" s="14" t="n"/>
      <c r="D37" s="14" t="n"/>
      <c r="E37" s="14" t="n"/>
      <c r="F37" s="14" t="n"/>
      <c r="G37" s="14" t="n"/>
      <c r="H37" s="14" t="n"/>
      <c r="I37" s="14" t="n"/>
      <c r="J37" s="14" t="n"/>
    </row>
    <row r="38" ht="18" customHeight="1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</row>
    <row r="39" ht="18" customHeight="1">
      <c r="A39" s="14" t="n"/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</row>
    <row r="40" ht="18" customHeight="1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</row>
    <row r="41" ht="18" customHeight="1">
      <c r="A41" s="14" t="n"/>
      <c r="B41" s="14" t="n"/>
      <c r="C41" s="14" t="n"/>
      <c r="D41" s="14" t="n"/>
      <c r="E41" s="14" t="n"/>
      <c r="F41" s="14" t="n"/>
      <c r="G41" s="14" t="n"/>
      <c r="H41" s="14" t="n"/>
      <c r="I41" s="14" t="n"/>
      <c r="J41" s="14" t="n"/>
    </row>
    <row r="42" ht="18" customHeight="1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</row>
    <row r="43" ht="18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</row>
    <row r="44" ht="18" customHeight="1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</row>
    <row r="45" ht="18" customHeight="1">
      <c r="A45" s="14" t="n"/>
      <c r="B45" s="14" t="n"/>
      <c r="C45" s="14" t="n"/>
      <c r="D45" s="14" t="n"/>
      <c r="E45" s="14" t="n"/>
      <c r="F45" s="14" t="n"/>
      <c r="G45" s="14" t="n"/>
      <c r="H45" s="14" t="n"/>
      <c r="I45" s="14" t="n"/>
      <c r="J45" s="14" t="n"/>
    </row>
    <row r="46" ht="18" customHeight="1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</row>
    <row r="47" ht="18" customHeight="1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</row>
    <row r="48" ht="18" customHeight="1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</row>
    <row r="49" ht="18" customHeigh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</row>
    <row r="50" ht="18" customHeight="1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</row>
    <row r="51" ht="18" customHeight="1">
      <c r="A51" s="14" t="n"/>
      <c r="B51" s="14" t="n"/>
      <c r="C51" s="14" t="n"/>
      <c r="D51" s="14" t="n"/>
      <c r="E51" s="14" t="n"/>
      <c r="F51" s="14" t="n"/>
      <c r="G51" s="14" t="n"/>
      <c r="H51" s="14" t="n"/>
      <c r="I51" s="14" t="n"/>
      <c r="J51" s="14" t="n"/>
    </row>
    <row r="52" ht="18" customHeight="1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</row>
    <row r="53" ht="18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</row>
    <row r="54" ht="18" customHeight="1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</row>
    <row r="55" ht="18" customHeight="1">
      <c r="A55" s="14" t="n"/>
      <c r="B55" s="14" t="n"/>
      <c r="C55" s="14" t="n"/>
      <c r="D55" s="14" t="n"/>
      <c r="E55" s="14" t="n"/>
      <c r="F55" s="14" t="n"/>
      <c r="G55" s="14" t="n"/>
      <c r="H55" s="14" t="n"/>
      <c r="I55" s="14" t="n"/>
      <c r="J55" s="14" t="n"/>
    </row>
    <row r="56" ht="18" customHeight="1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</row>
    <row r="57" ht="18" customHeight="1">
      <c r="A57" s="14" t="n"/>
      <c r="B57" s="14" t="n"/>
      <c r="C57" s="14" t="n"/>
      <c r="D57" s="14" t="n"/>
      <c r="E57" s="14" t="n"/>
      <c r="F57" s="14" t="n"/>
      <c r="G57" s="14" t="n"/>
      <c r="H57" s="14" t="n"/>
      <c r="I57" s="14" t="n"/>
      <c r="J57" s="14" t="n"/>
    </row>
    <row r="58" ht="18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</row>
    <row r="59" ht="18" customHeight="1">
      <c r="A59" s="14" t="n"/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</row>
    <row r="60" ht="18" customHeight="1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</row>
    <row r="61" ht="18" customHeight="1">
      <c r="A61" s="14" t="n"/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</row>
    <row r="62" ht="18" customHeight="1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</row>
    <row r="63" ht="18" customHeight="1">
      <c r="A63" s="14" t="n"/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</row>
    <row r="64" ht="18" customHeight="1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</row>
    <row r="65" ht="18" customHeight="1">
      <c r="A65" s="14" t="n"/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</row>
    <row r="66" ht="18" customHeight="1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</row>
    <row r="67" ht="18" customHeight="1">
      <c r="A67" s="14" t="n"/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</row>
    <row r="68" ht="18" customHeight="1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</row>
    <row r="69" ht="18" customHeight="1">
      <c r="A69" s="14" t="n"/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</row>
    <row r="70" ht="18" customHeight="1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</row>
    <row r="71" ht="18" customHeight="1">
      <c r="A71" s="14" t="n"/>
      <c r="B71" s="14" t="n"/>
      <c r="C71" s="14" t="n"/>
      <c r="D71" s="14" t="n"/>
      <c r="E71" s="14" t="n"/>
      <c r="F71" s="14" t="n"/>
      <c r="G71" s="14" t="n"/>
      <c r="H71" s="14" t="n"/>
      <c r="I71" s="14" t="n"/>
      <c r="J71" s="14" t="n"/>
    </row>
    <row r="72" ht="18" customHeight="1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</row>
    <row r="73" ht="18" customHeight="1">
      <c r="A73" s="14" t="n"/>
      <c r="B73" s="14" t="n"/>
      <c r="C73" s="14" t="n"/>
      <c r="D73" s="14" t="n"/>
      <c r="E73" s="14" t="n"/>
      <c r="F73" s="14" t="n"/>
      <c r="G73" s="14" t="n"/>
      <c r="H73" s="14" t="n"/>
      <c r="I73" s="14" t="n"/>
      <c r="J73" s="14" t="n"/>
    </row>
    <row r="74" ht="18" customHeight="1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</row>
    <row r="75" ht="18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</row>
    <row r="76" ht="18" customHeight="1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</row>
    <row r="77" ht="18" customHeight="1">
      <c r="A77" s="14" t="n"/>
      <c r="B77" s="14" t="n"/>
      <c r="C77" s="14" t="n"/>
      <c r="D77" s="14" t="n"/>
      <c r="E77" s="14" t="n"/>
      <c r="F77" s="14" t="n"/>
      <c r="G77" s="14" t="n"/>
      <c r="H77" s="14" t="n"/>
      <c r="I77" s="14" t="n"/>
      <c r="J77" s="14" t="n"/>
    </row>
    <row r="78" ht="18" customHeight="1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</row>
    <row r="79" ht="18" customHeight="1">
      <c r="A79" s="14" t="n"/>
      <c r="B79" s="14" t="n"/>
      <c r="C79" s="14" t="n"/>
      <c r="D79" s="14" t="n"/>
      <c r="E79" s="14" t="n"/>
      <c r="F79" s="14" t="n"/>
      <c r="G79" s="14" t="n"/>
      <c r="H79" s="14" t="n"/>
      <c r="I79" s="14" t="n"/>
      <c r="J79" s="14" t="n"/>
    </row>
    <row r="80" ht="18" customHeight="1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</row>
    <row r="81" ht="18" customHeight="1">
      <c r="A81" s="14" t="n"/>
      <c r="B81" s="14" t="n"/>
      <c r="C81" s="14" t="n"/>
      <c r="D81" s="14" t="n"/>
      <c r="E81" s="14" t="n"/>
      <c r="F81" s="14" t="n"/>
      <c r="G81" s="14" t="n"/>
      <c r="H81" s="14" t="n"/>
      <c r="I81" s="14" t="n"/>
      <c r="J81" s="14" t="n"/>
    </row>
    <row r="82" ht="18" customHeight="1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</row>
    <row r="83" ht="18" customHeight="1">
      <c r="A83" s="14" t="n"/>
      <c r="B83" s="14" t="n"/>
      <c r="C83" s="14" t="n"/>
      <c r="D83" s="14" t="n"/>
      <c r="E83" s="14" t="n"/>
      <c r="F83" s="14" t="n"/>
      <c r="G83" s="14" t="n"/>
      <c r="H83" s="14" t="n"/>
      <c r="I83" s="14" t="n"/>
      <c r="J83" s="14" t="n"/>
    </row>
    <row r="84" ht="18" customHeight="1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</row>
    <row r="85" ht="18" customHeight="1">
      <c r="A85" s="14" t="n"/>
      <c r="B85" s="14" t="n"/>
      <c r="C85" s="14" t="n"/>
      <c r="D85" s="14" t="n"/>
      <c r="E85" s="14" t="n"/>
      <c r="F85" s="14" t="n"/>
      <c r="G85" s="14" t="n"/>
      <c r="H85" s="14" t="n"/>
      <c r="I85" s="14" t="n"/>
      <c r="J85" s="14" t="n"/>
    </row>
    <row r="86" ht="18" customHeight="1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</row>
    <row r="87" ht="18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</row>
    <row r="88" ht="18" customHeight="1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</row>
    <row r="89" ht="18" customHeight="1">
      <c r="A89" s="14" t="n"/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</row>
    <row r="90" ht="18" customHeight="1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</row>
    <row r="91" ht="18" customHeight="1">
      <c r="A91" s="14" t="n"/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/>
    </row>
    <row r="92" ht="18" customHeight="1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</row>
    <row r="93" ht="18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</row>
    <row r="94" ht="18" customHeight="1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</row>
    <row r="95" ht="18" customHeight="1">
      <c r="A95" s="14" t="n"/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/>
    </row>
    <row r="96" ht="18" customHeight="1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</row>
    <row r="97" ht="18" customHeight="1">
      <c r="A97" s="14" t="n"/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/>
    </row>
    <row r="98" ht="18" customHeight="1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</row>
    <row r="99" ht="18" customHeight="1">
      <c r="A99" s="14" t="n"/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/>
    </row>
    <row r="100" ht="18" customHeight="1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</row>
    <row r="101" ht="18" customHeight="1">
      <c r="A101" s="14" t="n"/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/>
    </row>
    <row r="102" ht="18" customHeight="1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</row>
    <row r="103" ht="18" customHeight="1">
      <c r="A103" s="14" t="n"/>
      <c r="B103" s="14" t="n"/>
      <c r="C103" s="14" t="n"/>
      <c r="D103" s="14" t="n"/>
      <c r="E103" s="14" t="n"/>
      <c r="F103" s="14" t="n"/>
      <c r="G103" s="14" t="n"/>
      <c r="H103" s="14" t="n"/>
      <c r="I103" s="14" t="n"/>
      <c r="J103" s="14" t="n"/>
    </row>
    <row r="104" ht="18" customHeight="1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</row>
    <row r="105" ht="18" customHeight="1">
      <c r="A105" s="14" t="n"/>
      <c r="B105" s="14" t="n"/>
      <c r="C105" s="14" t="n"/>
      <c r="D105" s="14" t="n"/>
      <c r="E105" s="14" t="n"/>
      <c r="F105" s="14" t="n"/>
      <c r="G105" s="14" t="n"/>
      <c r="H105" s="14" t="n"/>
      <c r="I105" s="14" t="n"/>
      <c r="J105" s="14" t="n"/>
    </row>
    <row r="106" ht="18" customHeight="1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</row>
    <row r="107" ht="18" customHeight="1">
      <c r="A107" s="14" t="n"/>
      <c r="B107" s="14" t="n"/>
      <c r="C107" s="14" t="n"/>
      <c r="D107" s="14" t="n"/>
      <c r="E107" s="14" t="n"/>
      <c r="F107" s="14" t="n"/>
      <c r="G107" s="14" t="n"/>
      <c r="H107" s="14" t="n"/>
      <c r="I107" s="14" t="n"/>
      <c r="J107" s="14" t="n"/>
    </row>
    <row r="108" ht="18" customHeight="1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</row>
    <row r="109" ht="18" customHeight="1">
      <c r="A109" s="14" t="n"/>
      <c r="B109" s="14" t="n"/>
      <c r="C109" s="14" t="n"/>
      <c r="D109" s="14" t="n"/>
      <c r="E109" s="14" t="n"/>
      <c r="F109" s="14" t="n"/>
      <c r="G109" s="14" t="n"/>
      <c r="H109" s="14" t="n"/>
      <c r="I109" s="14" t="n"/>
      <c r="J109" s="14" t="n"/>
    </row>
    <row r="110" ht="18" customHeight="1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</row>
    <row r="111" ht="18" customHeight="1">
      <c r="A111" s="14" t="n"/>
      <c r="B111" s="14" t="n"/>
      <c r="C111" s="14" t="n"/>
      <c r="D111" s="14" t="n"/>
      <c r="E111" s="14" t="n"/>
      <c r="F111" s="14" t="n"/>
      <c r="G111" s="14" t="n"/>
      <c r="H111" s="14" t="n"/>
      <c r="I111" s="14" t="n"/>
      <c r="J111" s="14" t="n"/>
    </row>
    <row r="112" ht="18" customHeight="1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</row>
    <row r="113" ht="18" customHeight="1">
      <c r="A113" s="14" t="n"/>
      <c r="B113" s="14" t="n"/>
      <c r="C113" s="14" t="n"/>
      <c r="D113" s="14" t="n"/>
      <c r="E113" s="14" t="n"/>
      <c r="F113" s="14" t="n"/>
      <c r="G113" s="14" t="n"/>
      <c r="H113" s="14" t="n"/>
      <c r="I113" s="14" t="n"/>
      <c r="J113" s="14" t="n"/>
    </row>
    <row r="114" ht="18" customHeight="1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</row>
    <row r="115" ht="18" customHeight="1">
      <c r="A115" s="14" t="n"/>
      <c r="B115" s="14" t="n"/>
      <c r="C115" s="14" t="n"/>
      <c r="D115" s="14" t="n"/>
      <c r="E115" s="14" t="n"/>
      <c r="F115" s="14" t="n"/>
      <c r="G115" s="14" t="n"/>
      <c r="H115" s="14" t="n"/>
      <c r="I115" s="14" t="n"/>
      <c r="J115" s="14" t="n"/>
    </row>
    <row r="116" ht="18" customHeight="1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</row>
    <row r="117" ht="18" customHeight="1">
      <c r="A117" s="14" t="n"/>
      <c r="B117" s="14" t="n"/>
      <c r="C117" s="14" t="n"/>
      <c r="D117" s="14" t="n"/>
      <c r="E117" s="14" t="n"/>
      <c r="F117" s="14" t="n"/>
      <c r="G117" s="14" t="n"/>
      <c r="H117" s="14" t="n"/>
      <c r="I117" s="14" t="n"/>
      <c r="J117" s="14" t="n"/>
    </row>
    <row r="118" ht="18" customHeight="1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</row>
    <row r="119" ht="18" customHeight="1">
      <c r="A119" s="14" t="n"/>
      <c r="B119" s="14" t="n"/>
      <c r="C119" s="14" t="n"/>
      <c r="D119" s="14" t="n"/>
      <c r="E119" s="14" t="n"/>
      <c r="F119" s="14" t="n"/>
      <c r="G119" s="14" t="n"/>
      <c r="H119" s="14" t="n"/>
      <c r="I119" s="14" t="n"/>
      <c r="J119" s="14" t="n"/>
    </row>
    <row r="120" ht="18" customHeight="1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</row>
    <row r="121" ht="18" customHeight="1">
      <c r="A121" s="14" t="n"/>
      <c r="B121" s="14" t="n"/>
      <c r="C121" s="14" t="n"/>
      <c r="D121" s="14" t="n"/>
      <c r="E121" s="14" t="n"/>
      <c r="F121" s="14" t="n"/>
      <c r="G121" s="14" t="n"/>
      <c r="H121" s="14" t="n"/>
      <c r="I121" s="14" t="n"/>
      <c r="J121" s="14" t="n"/>
    </row>
    <row r="122" ht="18" customHeight="1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</row>
    <row r="123" ht="18" customHeight="1">
      <c r="A123" s="14" t="n"/>
      <c r="B123" s="14" t="n"/>
      <c r="C123" s="14" t="n"/>
      <c r="D123" s="14" t="n"/>
      <c r="E123" s="14" t="n"/>
      <c r="F123" s="14" t="n"/>
      <c r="G123" s="14" t="n"/>
      <c r="H123" s="14" t="n"/>
      <c r="I123" s="14" t="n"/>
      <c r="J123" s="14" t="n"/>
    </row>
    <row r="124" ht="18" customHeight="1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</row>
    <row r="125" ht="18" customHeight="1">
      <c r="A125" s="14" t="n"/>
      <c r="B125" s="14" t="n"/>
      <c r="C125" s="14" t="n"/>
      <c r="D125" s="14" t="n"/>
      <c r="E125" s="14" t="n"/>
      <c r="F125" s="14" t="n"/>
      <c r="G125" s="14" t="n"/>
      <c r="H125" s="14" t="n"/>
      <c r="I125" s="14" t="n"/>
      <c r="J125" s="14" t="n"/>
    </row>
    <row r="126" ht="18" customHeight="1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</row>
    <row r="127" ht="18" customHeight="1">
      <c r="A127" s="14" t="n"/>
      <c r="B127" s="14" t="n"/>
      <c r="C127" s="14" t="n"/>
      <c r="D127" s="14" t="n"/>
      <c r="E127" s="14" t="n"/>
      <c r="F127" s="14" t="n"/>
      <c r="G127" s="14" t="n"/>
      <c r="H127" s="14" t="n"/>
      <c r="I127" s="14" t="n"/>
      <c r="J127" s="14" t="n"/>
    </row>
    <row r="128" ht="18" customHeight="1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</row>
    <row r="129" ht="18" customHeight="1">
      <c r="A129" s="14" t="n"/>
      <c r="B129" s="14" t="n"/>
      <c r="C129" s="14" t="n"/>
      <c r="D129" s="14" t="n"/>
      <c r="E129" s="14" t="n"/>
      <c r="F129" s="14" t="n"/>
      <c r="G129" s="14" t="n"/>
      <c r="H129" s="14" t="n"/>
      <c r="I129" s="14" t="n"/>
      <c r="J129" s="14" t="n"/>
    </row>
    <row r="130" ht="18" customHeight="1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</row>
    <row r="131" ht="18" customHeight="1">
      <c r="A131" s="14" t="n"/>
      <c r="B131" s="14" t="n"/>
      <c r="C131" s="14" t="n"/>
      <c r="D131" s="14" t="n"/>
      <c r="E131" s="14" t="n"/>
      <c r="F131" s="14" t="n"/>
      <c r="G131" s="14" t="n"/>
      <c r="H131" s="14" t="n"/>
      <c r="I131" s="14" t="n"/>
      <c r="J131" s="14" t="n"/>
    </row>
    <row r="132" ht="18" customHeight="1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</row>
    <row r="133" ht="18" customHeight="1">
      <c r="A133" s="14" t="n"/>
      <c r="B133" s="14" t="n"/>
      <c r="C133" s="14" t="n"/>
      <c r="D133" s="14" t="n"/>
      <c r="E133" s="14" t="n"/>
      <c r="F133" s="14" t="n"/>
      <c r="G133" s="14" t="n"/>
      <c r="H133" s="14" t="n"/>
      <c r="I133" s="14" t="n"/>
      <c r="J133" s="14" t="n"/>
    </row>
    <row r="134" ht="18" customHeight="1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</row>
    <row r="135" ht="18" customHeight="1">
      <c r="A135" s="14" t="n"/>
      <c r="B135" s="14" t="n"/>
      <c r="C135" s="14" t="n"/>
      <c r="D135" s="14" t="n"/>
      <c r="E135" s="14" t="n"/>
      <c r="F135" s="14" t="n"/>
      <c r="G135" s="14" t="n"/>
      <c r="H135" s="14" t="n"/>
      <c r="I135" s="14" t="n"/>
      <c r="J135" s="14" t="n"/>
    </row>
    <row r="136" ht="18" customHeight="1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</row>
    <row r="137" ht="18" customHeight="1">
      <c r="A137" s="14" t="n"/>
      <c r="B137" s="14" t="n"/>
      <c r="C137" s="14" t="n"/>
      <c r="D137" s="14" t="n"/>
      <c r="E137" s="14" t="n"/>
      <c r="F137" s="14" t="n"/>
      <c r="G137" s="14" t="n"/>
      <c r="H137" s="14" t="n"/>
      <c r="I137" s="14" t="n"/>
      <c r="J137" s="14" t="n"/>
    </row>
    <row r="138" ht="18" customHeight="1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</row>
    <row r="139" ht="18" customHeight="1">
      <c r="A139" s="14" t="n"/>
      <c r="B139" s="14" t="n"/>
      <c r="C139" s="14" t="n"/>
      <c r="D139" s="14" t="n"/>
      <c r="E139" s="14" t="n"/>
      <c r="F139" s="14" t="n"/>
      <c r="G139" s="14" t="n"/>
      <c r="H139" s="14" t="n"/>
      <c r="I139" s="14" t="n"/>
      <c r="J139" s="14" t="n"/>
    </row>
    <row r="140" ht="18" customHeight="1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</row>
    <row r="141" ht="18" customHeight="1">
      <c r="A141" s="14" t="n"/>
      <c r="B141" s="14" t="n"/>
      <c r="C141" s="14" t="n"/>
      <c r="D141" s="14" t="n"/>
      <c r="E141" s="14" t="n"/>
      <c r="F141" s="14" t="n"/>
      <c r="G141" s="14" t="n"/>
      <c r="H141" s="14" t="n"/>
      <c r="I141" s="14" t="n"/>
      <c r="J141" s="14" t="n"/>
    </row>
    <row r="142" ht="18" customHeight="1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</row>
    <row r="143" ht="18" customHeight="1">
      <c r="A143" s="14" t="n"/>
      <c r="B143" s="14" t="n"/>
      <c r="C143" s="14" t="n"/>
      <c r="D143" s="14" t="n"/>
      <c r="E143" s="14" t="n"/>
      <c r="F143" s="14" t="n"/>
      <c r="G143" s="14" t="n"/>
      <c r="H143" s="14" t="n"/>
      <c r="I143" s="14" t="n"/>
      <c r="J143" s="14" t="n"/>
    </row>
    <row r="144" ht="18" customHeight="1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</row>
    <row r="145" ht="18" customHeight="1">
      <c r="A145" s="14" t="n"/>
      <c r="B145" s="14" t="n"/>
      <c r="C145" s="14" t="n"/>
      <c r="D145" s="14" t="n"/>
      <c r="E145" s="14" t="n"/>
      <c r="F145" s="14" t="n"/>
      <c r="G145" s="14" t="n"/>
      <c r="H145" s="14" t="n"/>
      <c r="I145" s="14" t="n"/>
      <c r="J145" s="14" t="n"/>
    </row>
    <row r="146" ht="18" customHeight="1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</row>
    <row r="147" ht="18" customHeight="1">
      <c r="A147" s="14" t="n"/>
      <c r="B147" s="14" t="n"/>
      <c r="C147" s="14" t="n"/>
      <c r="D147" s="14" t="n"/>
      <c r="E147" s="14" t="n"/>
      <c r="F147" s="14" t="n"/>
      <c r="G147" s="14" t="n"/>
      <c r="H147" s="14" t="n"/>
      <c r="I147" s="14" t="n"/>
      <c r="J147" s="14" t="n"/>
    </row>
    <row r="148" ht="18" customHeight="1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</row>
    <row r="149" ht="18" customHeight="1">
      <c r="A149" s="14" t="n"/>
      <c r="B149" s="14" t="n"/>
      <c r="C149" s="14" t="n"/>
      <c r="D149" s="14" t="n"/>
      <c r="E149" s="14" t="n"/>
      <c r="F149" s="14" t="n"/>
      <c r="G149" s="14" t="n"/>
      <c r="H149" s="14" t="n"/>
      <c r="I149" s="14" t="n"/>
      <c r="J149" s="14" t="n"/>
    </row>
    <row r="150" ht="18" customHeight="1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</row>
    <row r="151" ht="18" customHeight="1">
      <c r="A151" s="14" t="n"/>
      <c r="B151" s="14" t="n"/>
      <c r="C151" s="14" t="n"/>
      <c r="D151" s="14" t="n"/>
      <c r="E151" s="14" t="n"/>
      <c r="F151" s="14" t="n"/>
      <c r="G151" s="14" t="n"/>
      <c r="H151" s="14" t="n"/>
      <c r="I151" s="14" t="n"/>
      <c r="J151" s="14" t="n"/>
    </row>
    <row r="152" ht="18" customHeight="1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</row>
    <row r="153" ht="18" customHeight="1">
      <c r="A153" s="14" t="n"/>
      <c r="B153" s="14" t="n"/>
      <c r="C153" s="14" t="n"/>
      <c r="D153" s="14" t="n"/>
      <c r="E153" s="14" t="n"/>
      <c r="F153" s="14" t="n"/>
      <c r="G153" s="14" t="n"/>
      <c r="H153" s="14" t="n"/>
      <c r="I153" s="14" t="n"/>
      <c r="J153" s="14" t="n"/>
    </row>
    <row r="154" ht="18" customHeight="1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</row>
    <row r="155" ht="18" customHeight="1">
      <c r="A155" s="14" t="n"/>
      <c r="B155" s="14" t="n"/>
      <c r="C155" s="14" t="n"/>
      <c r="D155" s="14" t="n"/>
      <c r="E155" s="14" t="n"/>
      <c r="F155" s="14" t="n"/>
      <c r="G155" s="14" t="n"/>
      <c r="H155" s="14" t="n"/>
      <c r="I155" s="14" t="n"/>
      <c r="J155" s="14" t="n"/>
    </row>
    <row r="156" ht="18" customHeight="1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</row>
    <row r="157" ht="18" customHeight="1">
      <c r="A157" s="14" t="n"/>
      <c r="B157" s="14" t="n"/>
      <c r="C157" s="14" t="n"/>
      <c r="D157" s="14" t="n"/>
      <c r="E157" s="14" t="n"/>
      <c r="F157" s="14" t="n"/>
      <c r="G157" s="14" t="n"/>
      <c r="H157" s="14" t="n"/>
      <c r="I157" s="14" t="n"/>
      <c r="J157" s="14" t="n"/>
    </row>
    <row r="158" ht="18" customHeight="1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</row>
    <row r="159" ht="18" customHeight="1">
      <c r="A159" s="14" t="n"/>
      <c r="B159" s="14" t="n"/>
      <c r="C159" s="14" t="n"/>
      <c r="D159" s="14" t="n"/>
      <c r="E159" s="14" t="n"/>
      <c r="F159" s="14" t="n"/>
      <c r="G159" s="14" t="n"/>
      <c r="H159" s="14" t="n"/>
      <c r="I159" s="14" t="n"/>
      <c r="J159" s="14" t="n"/>
    </row>
    <row r="160" ht="18" customHeight="1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</row>
    <row r="161" ht="18" customHeight="1">
      <c r="A161" s="14" t="n"/>
      <c r="B161" s="14" t="n"/>
      <c r="C161" s="14" t="n"/>
      <c r="D161" s="14" t="n"/>
      <c r="E161" s="14" t="n"/>
      <c r="F161" s="14" t="n"/>
      <c r="G161" s="14" t="n"/>
      <c r="H161" s="14" t="n"/>
      <c r="I161" s="14" t="n"/>
      <c r="J161" s="14" t="n"/>
    </row>
    <row r="162" ht="18" customHeight="1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</row>
    <row r="163" ht="18" customHeight="1">
      <c r="A163" s="14" t="n"/>
      <c r="B163" s="14" t="n"/>
      <c r="C163" s="14" t="n"/>
      <c r="D163" s="14" t="n"/>
      <c r="E163" s="14" t="n"/>
      <c r="F163" s="14" t="n"/>
      <c r="G163" s="14" t="n"/>
      <c r="H163" s="14" t="n"/>
      <c r="I163" s="14" t="n"/>
      <c r="J163" s="14" t="n"/>
    </row>
    <row r="164" ht="18" customHeight="1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</row>
    <row r="165" ht="18" customHeight="1">
      <c r="A165" s="14" t="n"/>
      <c r="B165" s="14" t="n"/>
      <c r="C165" s="14" t="n"/>
      <c r="D165" s="14" t="n"/>
      <c r="E165" s="14" t="n"/>
      <c r="F165" s="14" t="n"/>
      <c r="G165" s="14" t="n"/>
      <c r="H165" s="14" t="n"/>
      <c r="I165" s="14" t="n"/>
      <c r="J165" s="14" t="n"/>
    </row>
    <row r="166" ht="18" customHeight="1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</row>
    <row r="167" ht="18" customHeight="1">
      <c r="A167" s="14" t="n"/>
      <c r="B167" s="14" t="n"/>
      <c r="C167" s="14" t="n"/>
      <c r="D167" s="14" t="n"/>
      <c r="E167" s="14" t="n"/>
      <c r="F167" s="14" t="n"/>
      <c r="G167" s="14" t="n"/>
      <c r="H167" s="14" t="n"/>
      <c r="I167" s="14" t="n"/>
      <c r="J167" s="14" t="n"/>
    </row>
    <row r="168" ht="18" customHeight="1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</row>
    <row r="169" ht="18" customHeight="1">
      <c r="A169" s="14" t="n"/>
      <c r="B169" s="14" t="n"/>
      <c r="C169" s="14" t="n"/>
      <c r="D169" s="14" t="n"/>
      <c r="E169" s="14" t="n"/>
      <c r="F169" s="14" t="n"/>
      <c r="G169" s="14" t="n"/>
      <c r="H169" s="14" t="n"/>
      <c r="I169" s="14" t="n"/>
      <c r="J169" s="14" t="n"/>
    </row>
    <row r="170" ht="18" customHeight="1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</row>
    <row r="171" ht="18" customHeight="1">
      <c r="A171" s="14" t="n"/>
      <c r="B171" s="14" t="n"/>
      <c r="C171" s="14" t="n"/>
      <c r="D171" s="14" t="n"/>
      <c r="E171" s="14" t="n"/>
      <c r="F171" s="14" t="n"/>
      <c r="G171" s="14" t="n"/>
      <c r="H171" s="14" t="n"/>
      <c r="I171" s="14" t="n"/>
      <c r="J171" s="14" t="n"/>
    </row>
    <row r="172" ht="18" customHeight="1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</row>
    <row r="173" ht="18" customHeight="1">
      <c r="A173" s="14" t="n"/>
      <c r="B173" s="14" t="n"/>
      <c r="C173" s="14" t="n"/>
      <c r="D173" s="14" t="n"/>
      <c r="E173" s="14" t="n"/>
      <c r="F173" s="14" t="n"/>
      <c r="G173" s="14" t="n"/>
      <c r="H173" s="14" t="n"/>
      <c r="I173" s="14" t="n"/>
      <c r="J173" s="14" t="n"/>
    </row>
    <row r="174" ht="18" customHeight="1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</row>
    <row r="175" ht="18" customHeight="1">
      <c r="A175" s="14" t="n"/>
      <c r="B175" s="14" t="n"/>
      <c r="C175" s="14" t="n"/>
      <c r="D175" s="14" t="n"/>
      <c r="E175" s="14" t="n"/>
      <c r="F175" s="14" t="n"/>
      <c r="G175" s="14" t="n"/>
      <c r="H175" s="14" t="n"/>
      <c r="I175" s="14" t="n"/>
      <c r="J175" s="14" t="n"/>
    </row>
    <row r="176" ht="18" customHeight="1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</row>
    <row r="177" ht="18" customHeight="1">
      <c r="A177" s="14" t="n"/>
      <c r="B177" s="14" t="n"/>
      <c r="C177" s="14" t="n"/>
      <c r="D177" s="14" t="n"/>
      <c r="E177" s="14" t="n"/>
      <c r="F177" s="14" t="n"/>
      <c r="G177" s="14" t="n"/>
      <c r="H177" s="14" t="n"/>
      <c r="I177" s="14" t="n"/>
      <c r="J177" s="14" t="n"/>
    </row>
    <row r="178" ht="18" customHeight="1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</row>
    <row r="179" ht="18" customHeight="1">
      <c r="A179" s="14" t="n"/>
      <c r="B179" s="14" t="n"/>
      <c r="C179" s="14" t="n"/>
      <c r="D179" s="14" t="n"/>
      <c r="E179" s="14" t="n"/>
      <c r="F179" s="14" t="n"/>
      <c r="G179" s="14" t="n"/>
      <c r="H179" s="14" t="n"/>
      <c r="I179" s="14" t="n"/>
      <c r="J179" s="14" t="n"/>
    </row>
    <row r="180" ht="18" customHeight="1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</row>
    <row r="181" ht="18" customHeight="1">
      <c r="A181" s="14" t="n"/>
      <c r="B181" s="14" t="n"/>
      <c r="C181" s="14" t="n"/>
      <c r="D181" s="14" t="n"/>
      <c r="E181" s="14" t="n"/>
      <c r="F181" s="14" t="n"/>
      <c r="G181" s="14" t="n"/>
      <c r="H181" s="14" t="n"/>
      <c r="I181" s="14" t="n"/>
      <c r="J181" s="14" t="n"/>
    </row>
    <row r="182" ht="18" customHeight="1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</row>
    <row r="183" ht="18" customHeight="1">
      <c r="A183" s="14" t="n"/>
      <c r="B183" s="14" t="n"/>
      <c r="C183" s="14" t="n"/>
      <c r="D183" s="14" t="n"/>
      <c r="E183" s="14" t="n"/>
      <c r="F183" s="14" t="n"/>
      <c r="G183" s="14" t="n"/>
      <c r="H183" s="14" t="n"/>
      <c r="I183" s="14" t="n"/>
      <c r="J183" s="14" t="n"/>
    </row>
    <row r="184" ht="18" customHeight="1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</row>
  </sheetData>
  <mergeCells count="2">
    <mergeCell ref="A1:J1"/>
    <mergeCell ref="A3:J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</cols>
  <sheetData>
    <row r="1" ht="36" customHeight="1">
      <c r="A1" s="43" t="inlineStr">
        <is>
          <t>🎣  HARVEST &amp; SALES LOG</t>
        </is>
      </c>
      <c r="B1" s="63" t="n"/>
      <c r="C1" s="63" t="n"/>
      <c r="D1" s="63" t="n"/>
      <c r="E1" s="63" t="n"/>
      <c r="F1" s="63" t="n"/>
      <c r="G1" s="63" t="n"/>
      <c r="H1" s="63" t="n"/>
      <c r="I1" s="64" t="n"/>
    </row>
    <row r="2" ht="36" customHeight="1">
      <c r="A2" s="4" t="inlineStr">
        <is>
          <t>#</t>
        </is>
      </c>
      <c r="B2" s="4" t="inlineStr">
        <is>
          <t>Harvest Date</t>
        </is>
      </c>
      <c r="C2" s="4" t="inlineStr">
        <is>
          <t>Tank</t>
        </is>
      </c>
      <c r="D2" s="4" t="inlineStr">
        <is>
          <t>No. of Fish
Harvested</t>
        </is>
      </c>
      <c r="E2" s="4" t="inlineStr">
        <is>
          <t>Total Weight
(kg)</t>
        </is>
      </c>
      <c r="F2" s="4" t="inlineStr">
        <is>
          <t>Price/kg
(₦)</t>
        </is>
      </c>
      <c r="G2" s="4" t="inlineStr">
        <is>
          <t>Total Revenue
(₦)</t>
        </is>
      </c>
      <c r="H2" s="4" t="inlineStr">
        <is>
          <t>Buyer/Channel</t>
        </is>
      </c>
      <c r="I2" s="4" t="inlineStr">
        <is>
          <t>Notes</t>
        </is>
      </c>
    </row>
    <row r="3" ht="22" customHeight="1">
      <c r="A3" s="14" t="n"/>
      <c r="B3" s="14" t="n"/>
      <c r="C3" s="14" t="n"/>
      <c r="D3" s="14" t="n"/>
      <c r="E3" s="14" t="n"/>
      <c r="F3" s="14" t="n"/>
      <c r="G3" s="14">
        <f>IF(E3&lt;&gt;"",E3*F3,"")</f>
        <v/>
      </c>
      <c r="H3" s="14" t="n"/>
      <c r="I3" s="14" t="n"/>
    </row>
    <row r="4" ht="22" customHeight="1">
      <c r="A4" s="15" t="n"/>
      <c r="B4" s="15" t="n"/>
      <c r="C4" s="15" t="n"/>
      <c r="D4" s="15" t="n"/>
      <c r="E4" s="15" t="n"/>
      <c r="F4" s="15" t="n"/>
      <c r="G4" s="15">
        <f>IF(E4&lt;&gt;"",E4*F4,"")</f>
        <v/>
      </c>
      <c r="H4" s="15" t="n"/>
      <c r="I4" s="15" t="n"/>
    </row>
    <row r="5" ht="22" customHeight="1">
      <c r="A5" s="14" t="n"/>
      <c r="B5" s="14" t="n"/>
      <c r="C5" s="14" t="n"/>
      <c r="D5" s="14" t="n"/>
      <c r="E5" s="14" t="n"/>
      <c r="F5" s="14" t="n"/>
      <c r="G5" s="14">
        <f>IF(E5&lt;&gt;"",E5*F5,"")</f>
        <v/>
      </c>
      <c r="H5" s="14" t="n"/>
      <c r="I5" s="14" t="n"/>
    </row>
    <row r="6" ht="22" customHeight="1">
      <c r="A6" s="15" t="n"/>
      <c r="B6" s="15" t="n"/>
      <c r="C6" s="15" t="n"/>
      <c r="D6" s="15" t="n"/>
      <c r="E6" s="15" t="n"/>
      <c r="F6" s="15" t="n"/>
      <c r="G6" s="15">
        <f>IF(E6&lt;&gt;"",E6*F6,"")</f>
        <v/>
      </c>
      <c r="H6" s="15" t="n"/>
      <c r="I6" s="15" t="n"/>
    </row>
    <row r="7" ht="22" customHeight="1">
      <c r="A7" s="14" t="n"/>
      <c r="B7" s="14" t="n"/>
      <c r="C7" s="14" t="n"/>
      <c r="D7" s="14" t="n"/>
      <c r="E7" s="14" t="n"/>
      <c r="F7" s="14" t="n"/>
      <c r="G7" s="14">
        <f>IF(E7&lt;&gt;"",E7*F7,"")</f>
        <v/>
      </c>
      <c r="H7" s="14" t="n"/>
      <c r="I7" s="14" t="n"/>
    </row>
    <row r="8" ht="22" customHeight="1">
      <c r="A8" s="15" t="n"/>
      <c r="B8" s="15" t="n"/>
      <c r="C8" s="15" t="n"/>
      <c r="D8" s="15" t="n"/>
      <c r="E8" s="15" t="n"/>
      <c r="F8" s="15" t="n"/>
      <c r="G8" s="15">
        <f>IF(E8&lt;&gt;"",E8*F8,"")</f>
        <v/>
      </c>
      <c r="H8" s="15" t="n"/>
      <c r="I8" s="15" t="n"/>
    </row>
    <row r="9" ht="22" customHeight="1">
      <c r="A9" s="14" t="n"/>
      <c r="B9" s="14" t="n"/>
      <c r="C9" s="14" t="n"/>
      <c r="D9" s="14" t="n"/>
      <c r="E9" s="14" t="n"/>
      <c r="F9" s="14" t="n"/>
      <c r="G9" s="14">
        <f>IF(E9&lt;&gt;"",E9*F9,"")</f>
        <v/>
      </c>
      <c r="H9" s="14" t="n"/>
      <c r="I9" s="14" t="n"/>
    </row>
    <row r="10" ht="22" customHeight="1">
      <c r="A10" s="15" t="n"/>
      <c r="B10" s="15" t="n"/>
      <c r="C10" s="15" t="n"/>
      <c r="D10" s="15" t="n"/>
      <c r="E10" s="15" t="n"/>
      <c r="F10" s="15" t="n"/>
      <c r="G10" s="15">
        <f>IF(E10&lt;&gt;"",E10*F10,"")</f>
        <v/>
      </c>
      <c r="H10" s="15" t="n"/>
      <c r="I10" s="15" t="n"/>
    </row>
    <row r="11" ht="22" customHeight="1">
      <c r="A11" s="14" t="n"/>
      <c r="B11" s="14" t="n"/>
      <c r="C11" s="14" t="n"/>
      <c r="D11" s="14" t="n"/>
      <c r="E11" s="14" t="n"/>
      <c r="F11" s="14" t="n"/>
      <c r="G11" s="14">
        <f>IF(E11&lt;&gt;"",E11*F11,"")</f>
        <v/>
      </c>
      <c r="H11" s="14" t="n"/>
      <c r="I11" s="14" t="n"/>
    </row>
    <row r="12" ht="22" customHeight="1">
      <c r="A12" s="15" t="n"/>
      <c r="B12" s="15" t="n"/>
      <c r="C12" s="15" t="n"/>
      <c r="D12" s="15" t="n"/>
      <c r="E12" s="15" t="n"/>
      <c r="F12" s="15" t="n"/>
      <c r="G12" s="15">
        <f>IF(E12&lt;&gt;"",E12*F12,"")</f>
        <v/>
      </c>
      <c r="H12" s="15" t="n"/>
      <c r="I12" s="15" t="n"/>
    </row>
    <row r="13" ht="22" customHeight="1">
      <c r="A13" s="14" t="n"/>
      <c r="B13" s="14" t="n"/>
      <c r="C13" s="14" t="n"/>
      <c r="D13" s="14" t="n"/>
      <c r="E13" s="14" t="n"/>
      <c r="F13" s="14" t="n"/>
      <c r="G13" s="14">
        <f>IF(E13&lt;&gt;"",E13*F13,"")</f>
        <v/>
      </c>
      <c r="H13" s="14" t="n"/>
      <c r="I13" s="14" t="n"/>
    </row>
    <row r="14" ht="22" customHeight="1">
      <c r="A14" s="15" t="n"/>
      <c r="B14" s="15" t="n"/>
      <c r="C14" s="15" t="n"/>
      <c r="D14" s="15" t="n"/>
      <c r="E14" s="15" t="n"/>
      <c r="F14" s="15" t="n"/>
      <c r="G14" s="15">
        <f>IF(E14&lt;&gt;"",E14*F14,"")</f>
        <v/>
      </c>
      <c r="H14" s="15" t="n"/>
      <c r="I14" s="15" t="n"/>
    </row>
    <row r="15" ht="22" customHeight="1">
      <c r="A15" s="14" t="n"/>
      <c r="B15" s="14" t="n"/>
      <c r="C15" s="14" t="n"/>
      <c r="D15" s="14" t="n"/>
      <c r="E15" s="14" t="n"/>
      <c r="F15" s="14" t="n"/>
      <c r="G15" s="14">
        <f>IF(E15&lt;&gt;"",E15*F15,"")</f>
        <v/>
      </c>
      <c r="H15" s="14" t="n"/>
      <c r="I15" s="14" t="n"/>
    </row>
    <row r="16" ht="22" customHeight="1">
      <c r="A16" s="15" t="n"/>
      <c r="B16" s="15" t="n"/>
      <c r="C16" s="15" t="n"/>
      <c r="D16" s="15" t="n"/>
      <c r="E16" s="15" t="n"/>
      <c r="F16" s="15" t="n"/>
      <c r="G16" s="15">
        <f>IF(E16&lt;&gt;"",E16*F16,"")</f>
        <v/>
      </c>
      <c r="H16" s="15" t="n"/>
      <c r="I16" s="15" t="n"/>
    </row>
    <row r="17" ht="22" customHeight="1">
      <c r="A17" s="14" t="n"/>
      <c r="B17" s="14" t="n"/>
      <c r="C17" s="14" t="n"/>
      <c r="D17" s="14" t="n"/>
      <c r="E17" s="14" t="n"/>
      <c r="F17" s="14" t="n"/>
      <c r="G17" s="14">
        <f>IF(E17&lt;&gt;"",E17*F17,"")</f>
        <v/>
      </c>
      <c r="H17" s="14" t="n"/>
      <c r="I17" s="14" t="n"/>
    </row>
    <row r="18" ht="22" customHeight="1">
      <c r="A18" s="15" t="n"/>
      <c r="B18" s="15" t="n"/>
      <c r="C18" s="15" t="n"/>
      <c r="D18" s="15" t="n"/>
      <c r="E18" s="15" t="n"/>
      <c r="F18" s="15" t="n"/>
      <c r="G18" s="15">
        <f>IF(E18&lt;&gt;"",E18*F18,"")</f>
        <v/>
      </c>
      <c r="H18" s="15" t="n"/>
      <c r="I18" s="15" t="n"/>
    </row>
    <row r="19" ht="22" customHeight="1">
      <c r="A19" s="14" t="n"/>
      <c r="B19" s="14" t="n"/>
      <c r="C19" s="14" t="n"/>
      <c r="D19" s="14" t="n"/>
      <c r="E19" s="14" t="n"/>
      <c r="F19" s="14" t="n"/>
      <c r="G19" s="14">
        <f>IF(E19&lt;&gt;"",E19*F19,"")</f>
        <v/>
      </c>
      <c r="H19" s="14" t="n"/>
      <c r="I19" s="14" t="n"/>
    </row>
    <row r="20" ht="22" customHeight="1">
      <c r="A20" s="15" t="n"/>
      <c r="B20" s="15" t="n"/>
      <c r="C20" s="15" t="n"/>
      <c r="D20" s="15" t="n"/>
      <c r="E20" s="15" t="n"/>
      <c r="F20" s="15" t="n"/>
      <c r="G20" s="15">
        <f>IF(E20&lt;&gt;"",E20*F20,"")</f>
        <v/>
      </c>
      <c r="H20" s="15" t="n"/>
      <c r="I20" s="15" t="n"/>
    </row>
    <row r="21" ht="22" customHeight="1">
      <c r="A21" s="14" t="n"/>
      <c r="B21" s="14" t="n"/>
      <c r="C21" s="14" t="n"/>
      <c r="D21" s="14" t="n"/>
      <c r="E21" s="14" t="n"/>
      <c r="F21" s="14" t="n"/>
      <c r="G21" s="14">
        <f>IF(E21&lt;&gt;"",E21*F21,"")</f>
        <v/>
      </c>
      <c r="H21" s="14" t="n"/>
      <c r="I21" s="14" t="n"/>
    </row>
    <row r="22" ht="22" customHeight="1">
      <c r="A22" s="15" t="n"/>
      <c r="B22" s="15" t="n"/>
      <c r="C22" s="15" t="n"/>
      <c r="D22" s="15" t="n"/>
      <c r="E22" s="15" t="n"/>
      <c r="F22" s="15" t="n"/>
      <c r="G22" s="15">
        <f>IF(E22&lt;&gt;"",E22*F22,"")</f>
        <v/>
      </c>
      <c r="H22" s="15" t="n"/>
      <c r="I22" s="15" t="n"/>
    </row>
    <row r="23" ht="22" customHeight="1">
      <c r="A23" s="14" t="n"/>
      <c r="B23" s="14" t="n"/>
      <c r="C23" s="14" t="n"/>
      <c r="D23" s="14" t="n"/>
      <c r="E23" s="14" t="n"/>
      <c r="F23" s="14" t="n"/>
      <c r="G23" s="14">
        <f>IF(E23&lt;&gt;"",E23*F23,"")</f>
        <v/>
      </c>
      <c r="H23" s="14" t="n"/>
      <c r="I23" s="14" t="n"/>
    </row>
    <row r="24" ht="22" customHeight="1">
      <c r="A24" s="15" t="n"/>
      <c r="B24" s="15" t="n"/>
      <c r="C24" s="15" t="n"/>
      <c r="D24" s="15" t="n"/>
      <c r="E24" s="15" t="n"/>
      <c r="F24" s="15" t="n"/>
      <c r="G24" s="15">
        <f>IF(E24&lt;&gt;"",E24*F24,"")</f>
        <v/>
      </c>
      <c r="H24" s="15" t="n"/>
      <c r="I24" s="15" t="n"/>
    </row>
    <row r="25" ht="22" customHeight="1">
      <c r="A25" s="14" t="n"/>
      <c r="B25" s="14" t="n"/>
      <c r="C25" s="14" t="n"/>
      <c r="D25" s="14" t="n"/>
      <c r="E25" s="14" t="n"/>
      <c r="F25" s="14" t="n"/>
      <c r="G25" s="14">
        <f>IF(E25&lt;&gt;"",E25*F25,"")</f>
        <v/>
      </c>
      <c r="H25" s="14" t="n"/>
      <c r="I25" s="14" t="n"/>
    </row>
    <row r="26" ht="22" customHeight="1">
      <c r="A26" s="15" t="n"/>
      <c r="B26" s="15" t="n"/>
      <c r="C26" s="15" t="n"/>
      <c r="D26" s="15" t="n"/>
      <c r="E26" s="15" t="n"/>
      <c r="F26" s="15" t="n"/>
      <c r="G26" s="15">
        <f>IF(E26&lt;&gt;"",E26*F26,"")</f>
        <v/>
      </c>
      <c r="H26" s="15" t="n"/>
      <c r="I26" s="15" t="n"/>
    </row>
    <row r="27" ht="22" customHeight="1">
      <c r="A27" s="14" t="n"/>
      <c r="B27" s="14" t="n"/>
      <c r="C27" s="14" t="n"/>
      <c r="D27" s="14" t="n"/>
      <c r="E27" s="14" t="n"/>
      <c r="F27" s="14" t="n"/>
      <c r="G27" s="14">
        <f>IF(E27&lt;&gt;"",E27*F27,"")</f>
        <v/>
      </c>
      <c r="H27" s="14" t="n"/>
      <c r="I27" s="14" t="n"/>
    </row>
    <row r="28" ht="22" customHeight="1">
      <c r="A28" s="15" t="n"/>
      <c r="B28" s="15" t="n"/>
      <c r="C28" s="15" t="n"/>
      <c r="D28" s="15" t="n"/>
      <c r="E28" s="15" t="n"/>
      <c r="F28" s="15" t="n"/>
      <c r="G28" s="15">
        <f>IF(E28&lt;&gt;"",E28*F28,"")</f>
        <v/>
      </c>
      <c r="H28" s="15" t="n"/>
      <c r="I28" s="15" t="n"/>
    </row>
    <row r="29" ht="22" customHeight="1">
      <c r="A29" s="14" t="n"/>
      <c r="B29" s="14" t="n"/>
      <c r="C29" s="14" t="n"/>
      <c r="D29" s="14" t="n"/>
      <c r="E29" s="14" t="n"/>
      <c r="F29" s="14" t="n"/>
      <c r="G29" s="14">
        <f>IF(E29&lt;&gt;"",E29*F29,"")</f>
        <v/>
      </c>
      <c r="H29" s="14" t="n"/>
      <c r="I29" s="14" t="n"/>
    </row>
    <row r="30" ht="24" customHeight="1">
      <c r="A30" s="10" t="inlineStr">
        <is>
          <t>HARVEST TOTALS</t>
        </is>
      </c>
      <c r="B30" s="63" t="n"/>
      <c r="C30" s="64" t="n"/>
      <c r="D30" s="44">
        <f>SUM(D3:D29)</f>
        <v/>
      </c>
      <c r="E30" s="44">
        <f>SUM(E3:E29)</f>
        <v/>
      </c>
      <c r="F30" s="3" t="n"/>
      <c r="G30" s="44">
        <f>SUM(G3:G29)</f>
        <v/>
      </c>
      <c r="H30" s="3" t="n"/>
      <c r="I30" s="3" t="n"/>
    </row>
  </sheetData>
  <mergeCells count="2">
    <mergeCell ref="A1:I1"/>
    <mergeCell ref="A30:C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2026-03-04T06:24:50Z</dcterms:created>
  <dcterms:modified xmlns:dcterms="http://purl.org/dc/terms/" xmlns:xsi="http://www.w3.org/2001/XMLSchema-instance" xsi:type="dcterms:W3CDTF">2026-03-05T11:52:59Z</dcterms:modified>
</cp:coreProperties>
</file>